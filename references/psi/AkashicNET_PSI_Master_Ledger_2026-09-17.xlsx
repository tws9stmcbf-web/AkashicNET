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06010ad4a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f951e2e94314ab6"/>
    <x:sheet xmlns:r="http://schemas.openxmlformats.org/officeDocument/2006/relationships" name="Cases" sheetId="2" r:id="Rac5ad973ae6f4e1a"/>
    <x:sheet xmlns:r="http://schemas.openxmlformats.org/officeDocument/2006/relationships" name="Sources" sheetId="3" r:id="Rc848d663f8e94cc2"/>
    <x:sheet xmlns:r="http://schemas.openxmlformats.org/officeDocument/2006/relationships" name="Manifestations" sheetId="4" r:id="Rab3016530b9e415b"/>
    <x:sheet xmlns:r="http://schemas.openxmlformats.org/officeDocument/2006/relationships" name="Taxonomy" sheetId="5" r:id="R0b946f8d4380465b"/>
    <x:sheet xmlns:r="http://schemas.openxmlformats.org/officeDocument/2006/relationships" name="Case 001 · BIO-PK" sheetId="6" r:id="R04805c3b5e314b48"/>
    <x:sheet xmlns:r="http://schemas.openxmlformats.org/officeDocument/2006/relationships" name="Read me" sheetId="7" r:id="Rfae70dde79f1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F766E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3"/>
      <x:color rgb="FFFFFFFF"/>
      <x:name val="Carlito"/>
    </x:font>
    <x:font>
      <x:sz val="11"/>
      <x:color rgb="FF7C4A03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0"/>
      <x:color rgb="FFB9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6FFFA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DFF7F4"/>
      </x:patternFill>
    </x:fill>
    <x:fill>
      <x:patternFill patternType="solid">
        <x:fgColor rgb="FFF7FAFC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9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598a5c39b49ee" /><Relationship Type="http://schemas.openxmlformats.org/officeDocument/2006/relationships/theme" Target="/xl/theme/theme1.xml" Id="Raecaa56866144815" /><Relationship Type="http://schemas.openxmlformats.org/officeDocument/2006/relationships/sharedStrings" Target="/xl/sharedStrings.xml" Id="Rf714455f92dc4a9a" /><Relationship Type="http://schemas.openxmlformats.org/officeDocument/2006/relationships/worksheet" Target="/xl/worksheets/sheet1.xml" Id="R0f951e2e94314ab6" /><Relationship Type="http://schemas.openxmlformats.org/officeDocument/2006/relationships/worksheet" Target="/xl/worksheets/sheet2.xml" Id="Rac5ad973ae6f4e1a" /><Relationship Type="http://schemas.openxmlformats.org/officeDocument/2006/relationships/worksheet" Target="/xl/worksheets/sheet3.xml" Id="Rc848d663f8e94cc2" /><Relationship Type="http://schemas.openxmlformats.org/officeDocument/2006/relationships/worksheet" Target="/xl/worksheets/sheet4.xml" Id="Rab3016530b9e415b" /><Relationship Type="http://schemas.openxmlformats.org/officeDocument/2006/relationships/worksheet" Target="/xl/worksheets/sheet5.xml" Id="R0b946f8d4380465b" /><Relationship Type="http://schemas.openxmlformats.org/officeDocument/2006/relationships/worksheet" Target="/xl/worksheets/sheet6.xml" Id="R04805c3b5e314b48" /><Relationship Type="http://schemas.openxmlformats.org/officeDocument/2006/relationships/worksheet" Target="/xl/worksheets/sheet7.xml" Id="Rfae70dde79f1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4" hidden="0" customWidth="1"/>
    <x:col min="4" max="4" width="24" hidden="0" customWidth="1"/>
    <x:col min="5" max="5" width="22" hidden="0" customWidth="1"/>
    <x:col min="6" max="6" width="24" hidden="0" customWidth="1"/>
    <x:col min="7" max="7" width="20" hidden="0" customWidth="1"/>
    <x:col min="8" max="8" width="25" hidden="0" customWidth="1"/>
  </x:cols>
  <x:sheetData>
    <x:row r="1" ht="30" customHeight="1">
      <x:c r="A1" s="3" t="str">
        <x:v>AkashicNET PSI &amp; Continuity Master Ledger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As of 2026-09-17 · metadata and review ledger · no evidence promotion</x:v>
      </x:c>
      <x:c r="B2" s="5"/>
      <x:c r="C2" s="5"/>
      <x:c r="D2" s="5"/>
      <x:c r="E2" s="5"/>
      <x:c r="F2" s="5"/>
      <x:c r="G2" s="5"/>
      <x:c r="H2" s="5"/>
    </x:row>
    <x:row r="4">
      <x:c r="A4" s="6" t="str">
        <x:v>Metric</x:v>
      </x:c>
      <x:c r="B4" s="6" t="str">
        <x:v>Value</x:v>
      </x:c>
    </x:row>
    <x:row r="5">
      <x:c r="A5" s="7" t="str">
        <x:v>Worked cases</x:v>
      </x:c>
      <x:c r="B5" t="n">
        <x:f>COUNTA(Cases!A2:A200)</x:f>
        <x:v>8</x:v>
      </x:c>
    </x:row>
    <x:row r="6">
      <x:c r="A6" s="7" t="str">
        <x:v>Unique source records</x:v>
      </x:c>
      <x:c r="B6" t="n">
        <x:f>COUNTA(Sources!A2:A300)</x:f>
        <x:v>48</x:v>
      </x:c>
    </x:row>
    <x:row r="7">
      <x:c r="A7" s="7" t="str">
        <x:v>Manifestations / URLs</x:v>
      </x:c>
      <x:c r="B7" t="n">
        <x:f>COUNTA(Manifestations!A2:A300)</x:f>
        <x:v>36</x:v>
      </x:c>
    </x:row>
    <x:row r="8">
      <x:c r="A8" s="7" t="str">
        <x:v>HOLD source records</x:v>
      </x:c>
      <x:c r="B8" t="n">
        <x:f>COUNTIF(Sources!I2:I300,"HOLD")</x:f>
        <x:v>8</x:v>
      </x:c>
    </x:row>
    <x:row r="9">
      <x:c r="A9" s="7" t="str">
        <x:v>Review-required source records</x:v>
      </x:c>
      <x:c r="B9" t="n">
        <x:f>COUNTIF(Sources!I2:I300,"REVIEW_REQUIRED")+COUNTIF(Sources!I2:I300,"REVIEW_CANDIDATE")</x:f>
        <x:v>16</x:v>
      </x:c>
    </x:row>
    <x:row r="10">
      <x:c r="A10" s="7" t="str">
        <x:v>Accepted canonical edges</x:v>
      </x:c>
      <x:c r="B10" t="n">
        <x:v>0</x:v>
      </x:c>
    </x:row>
    <x:row r="11">
      <x:c r="A11" s="7" t="str">
        <x:v>Promoted records</x:v>
      </x:c>
      <x:c r="B11" t="n">
        <x:v>0</x:v>
      </x:c>
    </x:row>
    <x:row r="13">
      <x:c r="A13" s="6" t="str">
        <x:v>Governance field</x:v>
      </x:c>
      <x:c r="B13" s="6" t="str">
        <x:v>State</x:v>
      </x:c>
      <x:c r="C13" s="6" t="str">
        <x:v>Reason</x:v>
      </x:c>
      <x:c r="D13" s="6" t="str">
        <x:v>Source</x:v>
      </x:c>
    </x:row>
    <x:row r="14">
      <x:c r="A14" t="str">
        <x:v>BQ001</x:v>
      </x:c>
      <x:c r="B14" t="str">
        <x:v>UNRESOLVED</x:v>
      </x:c>
      <x:c r="C14" t="str">
        <x:v>Continuity remains unresolved</x:v>
      </x:c>
      <x:c r="D14" t="str">
        <x:v>Issues #343/#354</x:v>
      </x:c>
    </x:row>
    <x:row r="15">
      <x:c r="A15" t="str">
        <x:v>BQ002</x:v>
      </x:c>
      <x:c r="B15" t="str">
        <x:v>UNRESOLVED · 4/10</x:v>
      </x:c>
      <x:c r="C15" t="str">
        <x:v>PSI/nonlocal-consciousness remains unresolved</x:v>
      </x:c>
      <x:c r="D15" t="str">
        <x:v>Issues #350/#354</x:v>
      </x:c>
    </x:row>
    <x:row r="16">
      <x:c r="A16" t="str">
        <x:v>BQ003</x:v>
      </x:c>
      <x:c r="B16" t="str">
        <x:v>UNRESOLVED</x:v>
      </x:c>
      <x:c r="C16" t="str">
        <x:v>Connectedness/field ontology remains unresolved</x:v>
      </x:c>
      <x:c r="D16" t="str">
        <x:v>Issue #343</x:v>
      </x:c>
    </x:row>
    <x:row r="17">
      <x:c r="A17" t="str">
        <x:v>supports_models</x:v>
      </x:c>
      <x:c r="B17" t="str">
        <x:v>empty</x:v>
      </x:c>
      <x:c r="C17" t="str">
        <x:v>No candidate supports a model canonically</x:v>
      </x:c>
      <x:c r="D17" t="str">
        <x:v>Issues #343/#350/#354</x:v>
      </x:c>
    </x:row>
    <x:row r="18">
      <x:c r="A18" t="str">
        <x:v>truth inference</x:v>
      </x:c>
      <x:c r="B18" t="str">
        <x:v>OFF</x:v>
      </x:c>
      <x:c r="C18" t="str">
        <x:v>Review-only intake</x:v>
      </x:c>
      <x:c r="D18" t="str">
        <x:v>Issues #343/#350/#354</x:v>
      </x:c>
    </x:row>
    <x:row r="19">
      <x:c r="A19" t="str">
        <x:v>scientific evidence promotion</x:v>
      </x:c>
      <x:c r="B19" t="str">
        <x:v>OFF</x:v>
      </x:c>
      <x:c r="C19" t="str">
        <x:v>No promotion authorized</x:v>
      </x:c>
      <x:c r="D19" t="str">
        <x:v>Issues #343/#350/#354</x:v>
      </x:c>
    </x:row>
    <x:row r="20">
      <x:c r="A20" t="str">
        <x:v>rights / public synthesis</x:v>
      </x:c>
      <x:c r="B20" t="str">
        <x:v>OFF / OFF</x:v>
      </x:c>
      <x:c r="C20" t="str">
        <x:v>Metadata and links only</x:v>
      </x:c>
      <x:c r="D20" t="str">
        <x:v>Issues #343/#350/#354</x:v>
      </x:c>
    </x:row>
    <x:row r="22">
      <x:c r="A22" s="9" t="str">
        <x:v>First governed case: BIO-PK-001 (legacy TEL-008)</x:v>
      </x:c>
      <x:c r="B22" s="9"/>
      <x:c r="C22" s="9"/>
      <x:c r="D22" s="9"/>
      <x:c r="E22" s="9"/>
      <x:c r="F22" s="9"/>
      <x:c r="G22" s="9"/>
      <x:c r="H22" s="9"/>
    </x:row>
    <x:row r="23">
      <x:c r="A23" s="12" t="str">
        <x:v>Primary paper</x:v>
      </x:c>
      <x:c r="B23" s="11" t="str">
        <x:v>Achterberg et al. (2005)</x:v>
      </x:c>
      <x:c r="C23" s="12" t="str">
        <x:v>Disposition</x:v>
      </x:c>
      <x:c r="D23" s="11" t="str">
        <x:v>HOLD / REVIEW_CANDIDATE</x:v>
      </x:c>
      <x:c r="E23" s="12" t="str">
        <x:v>Method maturity</x:v>
      </x:c>
      <x:c r="F23" s="11" t="str">
        <x:v>FULL-TEXT METHODS REVIEWED</x:v>
      </x:c>
      <x:c r="G23" s="12" t="str">
        <x:v>Reddit</x:v>
      </x:c>
      <x:c r="H23" s="11" t="str">
        <x:v>15rxs24</x:v>
      </x:c>
    </x:row>
    <x:row r="24">
      <x:c r="A24" s="12" t="str">
        <x:v>Claim tested</x:v>
      </x:c>
      <x:c r="B24" s="11" t="str">
        <x:v>Recipient fMRI aligned with distant-intentionality periods</x:v>
      </x:c>
      <x:c r="C24" s="12" t="str">
        <x:v>Analysed n</x:v>
      </x:c>
      <x:c r="D24" s="11" t="n">
        <x:v>10</x:v>
      </x:c>
      <x:c r="E24" s="12" t="str">
        <x:v>Original pairs</x:v>
      </x:c>
      <x:c r="F24" s="11" t="n">
        <x:v>11</x:v>
      </x:c>
      <x:c r="G24" s="12" t="str">
        <x:v>Protocol</x:v>
      </x:c>
      <x:c r="H24" s="11" t="str">
        <x:v>DMILS / fMRI</x:v>
      </x:c>
    </x:row>
    <x:row r="25">
      <x:c r="A25" s="12" t="str">
        <x:v>Largest limitation</x:v>
      </x:c>
      <x:c r="B25" s="11" t="str">
        <x:v>Same On/Off sequence reused across all sessions</x:v>
      </x:c>
      <x:c r="C25" s="12" t="str">
        <x:v>Blinding</x:v>
      </x:c>
      <x:c r="D25" s="11" t="str">
        <x:v>Timing known to control-room staff</x:v>
      </x:c>
      <x:c r="E25" s="12" t="str">
        <x:v>Statistics</x:v>
      </x:c>
      <x:c r="F25" s="11" t="str">
        <x:v>Clusterwise Z&gt;2.3; p&lt;0.01</x:v>
      </x:c>
      <x:c r="G25" s="12" t="str">
        <x:v>Replication</x:v>
      </x:c>
      <x:c r="H25" s="11" t="str">
        <x:v>No qualifying independent replication located</x:v>
      </x:c>
    </x:row>
    <x:row r="26">
      <x:c r="A26" s="12" t="str">
        <x:v>Narrow support</x:v>
      </x:c>
      <x:c r="B26" s="11" t="str">
        <x:v>Historical report of BOLD differences aligned with the shared schedule</x:v>
      </x:c>
      <x:c r="C26" s="12" t="str"/>
      <x:c r="D26" s="11" t="str"/>
      <x:c r="E26" s="12" t="str"/>
      <x:c r="F26" s="11" t="str"/>
      <x:c r="G26" s="12" t="str"/>
      <x:c r="H26" s="11" t="str"/>
    </x:row>
    <x:row r="27">
      <x:c r="A27" s="12" t="str">
        <x:v>Does not establish</x:v>
      </x:c>
      <x:c r="B27" s="11" t="str">
        <x:v>Telepathy, healing efficacy, causal nonlocal transmission, entanglement or mechanism</x:v>
      </x:c>
      <x:c r="C27" s="12" t="str"/>
      <x:c r="D27" s="11" t="str"/>
      <x:c r="E27" s="12" t="str"/>
      <x:c r="F27" s="11" t="str"/>
      <x:c r="G27" s="12" t="str"/>
      <x:c r="H27" s="11" t="str"/>
    </x:row>
    <x:row r="28">
      <x:c r="A28" s="12" t="str">
        <x:v>Next gate</x:v>
      </x:c>
      <x:c r="B28" s="11" t="str">
        <x:v>Raw data + permutation reanalysis + independent randomized/blinded preregistered replication</x:v>
      </x:c>
      <x:c r="C28" s="12" t="str"/>
      <x:c r="D28" s="11" t="str"/>
      <x:c r="E28" s="12" t="str"/>
      <x:c r="F28" s="11" t="str"/>
      <x:c r="G28" s="12" t="str"/>
      <x:c r="H28" s="11" t="str"/>
    </x:row>
    <x:row r="30">
      <x:c r="A30" s="16" t="str">
        <x:v>Coverage boundary: this workbook collates the governed records currently available from issues #343, #350 and #354, PR #352, and the interbrain-telepathy source crawl. It is not yet a complete census of every historical r/NeuronsToNirvana post or every private/unindexed record.</x:v>
      </x:c>
      <x:c r="B30" s="16"/>
      <x:c r="C30" s="16"/>
      <x:c r="D30" s="16"/>
      <x:c r="E30" s="16"/>
      <x:c r="F30" s="16"/>
      <x:c r="G30" s="16"/>
      <x:c r="H30" s="16"/>
    </x:row>
    <x:row r="31">
      <x:c r="A31" s="16"/>
      <x:c r="B31" s="16"/>
      <x:c r="C31" s="16"/>
      <x:c r="D31" s="16"/>
      <x:c r="E31" s="16"/>
      <x:c r="F31" s="16"/>
      <x:c r="G31" s="16"/>
      <x:c r="H31" s="16"/>
    </x:row>
    <x:row r="32">
      <x:c r="A32" s="16"/>
      <x:c r="B32" s="16"/>
      <x:c r="C32" s="16"/>
      <x:c r="D32" s="16"/>
      <x:c r="E32" s="16"/>
      <x:c r="F32" s="16"/>
      <x:c r="G32" s="16"/>
      <x:c r="H32" s="16"/>
    </x:row>
  </x:sheetData>
  <x:mergeCells>
    <x:mergeCell ref="A1:H1"/>
    <x:mergeCell ref="A2:H2"/>
    <x:mergeCell ref="A22:H22"/>
    <x:mergeCell ref="A30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34" hidden="0" customWidth="1"/>
    <x:col min="5" max="5" width="26" hidden="0" customWidth="1"/>
    <x:col min="6" max="6" width="22" hidden="0" customWidth="1"/>
    <x:col min="7" max="7" width="24" hidden="0" customWidth="1"/>
    <x:col min="8" max="8" width="20" hidden="0" customWidth="1"/>
    <x:col min="9" max="9" width="14" hidden="0" customWidth="1"/>
    <x:col min="10" max="10" width="50" hidden="0" customWidth="1"/>
    <x:col min="11" max="11" width="48" hidden="0" customWidth="1"/>
    <x:col min="12" max="12" width="38" hidden="0" customWidth="1"/>
    <x:col min="13" max="13" width="42" hidden="0" customWidth="1"/>
  </x:cols>
  <x:sheetData>
    <x:row r="1">
      <x:c r="A1" s="18" t="str">
        <x:v>Stable / proposed ID</x:v>
      </x:c>
      <x:c r="B1" s="18" t="str">
        <x:v>Primary series</x:v>
      </x:c>
      <x:c r="C1" s="18" t="str">
        <x:v>Legacy ID</x:v>
      </x:c>
      <x:c r="D1" s="18" t="str">
        <x:v>Case / claim packet</x:v>
      </x:c>
      <x:c r="E1" s="18" t="str">
        <x:v>Protocol &amp; context</x:v>
      </x:c>
      <x:c r="F1" s="18" t="str">
        <x:v>Record type</x:v>
      </x:c>
      <x:c r="G1" s="18" t="str">
        <x:v>Review maturity</x:v>
      </x:c>
      <x:c r="H1" s="18" t="str">
        <x:v>Disposition</x:v>
      </x:c>
      <x:c r="I1" s="18" t="str">
        <x:v>BQ route</x:v>
      </x:c>
      <x:c r="J1" s="18" t="str">
        <x:v>Key limitation</x:v>
      </x:c>
      <x:c r="K1" s="18" t="str">
        <x:v>Smallest safe next action</x:v>
      </x:c>
      <x:c r="L1" s="18" t="str">
        <x:v>Primary source</x:v>
      </x:c>
      <x:c r="M1" s="18" t="str">
        <x:v>Reddit manifestation</x:v>
      </x:c>
    </x:row>
    <x:row r="2">
      <x:c r="A2" s="30" t="str">
        <x:v>BIO-PK-001</x:v>
      </x:c>
      <x:c r="B2" s="31" t="str">
        <x:v>BIO-PK</x:v>
      </x:c>
      <x:c r="C2" s="31" t="str">
        <x:v>TEL-008</x:v>
      </x:c>
      <x:c r="D2" s="31" t="str">
        <x:v>Evidence for correlations between distant intentionality and brain function in recipients</x:v>
      </x:c>
      <x:c r="E2" s="31" t="str">
        <x:v>DMILS; FMRI</x:v>
      </x:c>
      <x:c r="F2" s="31" t="str">
        <x:v>PRIMARY_RESEARCH</x:v>
      </x:c>
      <x:c r="G2" s="31" t="str">
        <x:v>FULL-TEXT METHODS REVIEWED</x:v>
      </x:c>
      <x:c r="H2" s="33" t="str">
        <x:v>HOLD / REVIEW_CANDIDATE</x:v>
      </x:c>
      <x:c r="I2" s="31" t="str">
        <x:v>BQ002</x:v>
      </x:c>
      <x:c r="J2" s="31" t="str">
        <x:v>11 pairs; 10 analysed; one shared On/Off sequence; timing-aware staff; clusterwise inference</x:v>
      </x:c>
      <x:c r="K2" s="31" t="str">
        <x:v>Raw-data permutation reanalysis plus preregistered, blinded, independently randomized replication</x:v>
      </x:c>
      <x:c r="L2" s="31" t="str">
        <x:v>https://pubmed.ncbi.nlm.nih.gov/16398587/</x:v>
      </x:c>
      <x:c r="M2" s="31" t="str">
        <x:v>https://www.reddit.com/r/NeuronsToNirvana/comments/15rxs24/abstract_evidence_for_correlations_between/</x:v>
      </x:c>
    </x:row>
    <x:row r="3">
      <x:c r="A3" s="21" t="str">
        <x:v>TEL-001</x:v>
      </x:c>
      <x:c r="B3" s="21" t="str">
        <x:v>TEL</x:v>
      </x:c>
      <x:c r="C3" s="21" t="str"/>
      <x:c r="D3" s="21" t="str">
        <x:v>Telepathy in Lucid Dreams: Stories of Incredible Connection</x:v>
      </x:c>
      <x:c r="E3" s="21" t="str">
        <x:v>DREAM; LUCID-DREAM</x:v>
      </x:c>
      <x:c r="F3" s="21" t="str">
        <x:v>OFFICIAL_SECONDARY</x:v>
      </x:c>
      <x:c r="G3" s="21" t="str">
        <x:v>VERIFIED_OFFICIAL_SECONDARY</x:v>
      </x:c>
      <x:c r="H3" s="21" t="str">
        <x:v>REVIEW_REQUIRED</x:v>
      </x:c>
      <x:c r="I3" s="21" t="str">
        <x:v>BQ002</x:v>
      </x:c>
      <x:c r="J3" s="21" t="str">
        <x:v>Anecdotal/personal testimony; no controlled study identified in visible article</x:v>
      </x:c>
      <x:c r="K3" s="21" t="str">
        <x:v>Verify underlying examples and controlled dream-lab sources</x:v>
      </x:c>
      <x:c r="L3" s="21" t="str">
        <x:v>https://noetic.org/blog/telepathy-in-lucid-dreams/</x:v>
      </x:c>
      <x:c r="M3" s="21" t="str">
        <x:v>https://www.reddit.com/r/NeuronsToNirvana/comments/1kqolp4/telepathy_in_lucid_dreams_stories_of_incredible/</x:v>
      </x:c>
    </x:row>
    <x:row r="4">
      <x:c r="A4" s="31" t="str">
        <x:v>PSI-META-001</x:v>
      </x:c>
      <x:c r="B4" s="31" t="str">
        <x:v>PSI-META</x:v>
      </x:c>
      <x:c r="C4" s="31" t="str">
        <x:v>TEL-002</x:v>
      </x:c>
      <x:c r="D4" s="31" t="str">
        <x:v>“Scalar waves” consciousness mechanism claim</x:v>
      </x:c>
      <x:c r="E4" s="31" t="str">
        <x:v>PHYSICS-CLAIM; TEL-association</x:v>
      </x:c>
      <x:c r="F4" s="31" t="str">
        <x:v>SOCIAL_MEDIA_CLAIM</x:v>
      </x:c>
      <x:c r="G4" s="31" t="str">
        <x:v>PROVENANCE_INCOMPLETE</x:v>
      </x:c>
      <x:c r="H4" s="33" t="str">
        <x:v>HOLD</x:v>
      </x:c>
      <x:c r="I4" s="31" t="str">
        <x:v>BQ002</x:v>
      </x:c>
      <x:c r="J4" s="31" t="str">
        <x:v>Uncited social claim; mechanism undefined and not evidence of a PSI phenomenon</x:v>
      </x:c>
      <x:c r="K4" s="31" t="str">
        <x:v>Resolve exact source and attach primary physics counter-sources</x:v>
      </x:c>
      <x:c r="L4" s="31" t="str"/>
      <x:c r="M4" s="31" t="str">
        <x:v>https://www.reddit.com/r/NeuronsToNirvana/comments/1j9e0e7/scalar_waves_the_overlooked_key_to_consciousness/</x:v>
      </x:c>
    </x:row>
    <x:row r="5">
      <x:c r="A5" s="21" t="str">
        <x:v>TEL-003</x:v>
      </x:c>
      <x:c r="B5" s="21" t="str">
        <x:v>TEL</x:v>
      </x:c>
      <x:c r="C5" s="21" t="str"/>
      <x:c r="D5" s="21" t="str">
        <x:v>LSD, caudate nucleus, microdosing and telepathy</x:v>
      </x:c>
      <x:c r="E5" s="21" t="str">
        <x:v>PSYCHEDELIC; NEUROSCIENCE-CONTEXT</x:v>
      </x:c>
      <x:c r="F5" s="21" t="str">
        <x:v>COMMUNITY_DISCOVERY</x:v>
      </x:c>
      <x:c r="G5" s="21" t="str">
        <x:v>BODY_NOT_RETRIEVED</x:v>
      </x:c>
      <x:c r="H5" s="21" t="str">
        <x:v>REVIEW_REQUIRED</x:v>
      </x:c>
      <x:c r="I5" s="21" t="str">
        <x:v>BQ002</x:v>
      </x:c>
      <x:c r="J5" s="21" t="str">
        <x:v>Psychedelic phenomenology and ordinary caudate neuroscience do not establish information transfer</x:v>
      </x:c>
      <x:c r="K5" s="21" t="str">
        <x:v>Reuse REDDIT-NTN-1OEHUW4; retrieve underlying ICPR material</x:v>
      </x:c>
      <x:c r="L5" s="21" t="str"/>
      <x:c r="M5" s="21" t="str">
        <x:v>https://www.reddit.com/r/NeuronsToNirvana/comments/1oehuw4/lsd_caudate_nucleus_microdosing_telepathy_icpr/</x:v>
      </x:c>
    </x:row>
    <x:row r="6">
      <x:c r="A6" s="31" t="str">
        <x:v>TEL-004</x:v>
      </x:c>
      <x:c r="B6" s="31" t="str">
        <x:v>SPLIT_PENDING</x:v>
      </x:c>
      <x:c r="C6" s="31" t="str"/>
      <x:c r="D6" s="31" t="str">
        <x:v>Telepathy is Real. Explore the Science.</x:v>
      </x:c>
      <x:c r="E6" s="31" t="str">
        <x:v>FORCED-CHOICE; GANZFELD; DMILS; SURVEY</x:v>
      </x:c>
      <x:c r="F6" s="31" t="str">
        <x:v>INSTITUTIONAL_SECONDARY</x:v>
      </x:c>
      <x:c r="G6" s="31" t="str">
        <x:v>CITATION_TRAIL_PARTIALLY_EXTRACTED</x:v>
      </x:c>
      <x:c r="H6" s="33" t="str">
        <x:v>HOLD</x:v>
      </x:c>
      <x:c r="I6" s="31" t="str">
        <x:v>BQ002</x:v>
      </x:c>
      <x:c r="J6" s="31" t="str">
        <x:v>Mixes self-report, forced choice, physiology, uncited Ganzfeld claims and presentation-only claims</x:v>
      </x:c>
      <x:c r="K6" s="31" t="str">
        <x:v>Split one source into TEL and BIO-PK claims; complete primary and counter-source audit</x:v>
      </x:c>
      <x:c r="L6" s="31" t="str">
        <x:v>https://noetic.org/blog/telepathy-is-real/</x:v>
      </x:c>
      <x:c r="M6" s="31" t="str">
        <x:v>https://www.reddit.com/r/NeuronsToNirvana/comments/1ocoiw3/telepathyis_real_explore_the_science_4_min_read/</x:v>
      </x:c>
    </x:row>
    <x:row r="7">
      <x:c r="A7" s="21" t="str">
        <x:v>TEL-005</x:v>
      </x:c>
      <x:c r="B7" s="21" t="str">
        <x:v>TEL</x:v>
      </x:c>
      <x:c r="C7" s="21" t="str"/>
      <x:c r="D7" s="21" t="str">
        <x:v>Can DMT Unlock Telepathic Abilities?</x:v>
      </x:c>
      <x:c r="E7" s="21" t="str">
        <x:v>PSYCHEDELIC; MEDIA; TESTIMONY</x:v>
      </x:c>
      <x:c r="F7" s="21" t="str">
        <x:v>MEDIA_INTERVIEW</x:v>
      </x:c>
      <x:c r="G7" s="21" t="str">
        <x:v>OFFICIAL_VIDEO_PROVENANCE_BOUNDED</x:v>
      </x:c>
      <x:c r="H7" s="33" t="str">
        <x:v>HOLD / HYPOTHESIS</x:v>
      </x:c>
      <x:c r="I7" s="21" t="str">
        <x:v>BQ002</x:v>
      </x:c>
      <x:c r="J7" s="21" t="str">
        <x:v>No verified transcript or controlled information-transfer experiment</x:v>
      </x:c>
      <x:c r="K7" s="21" t="str">
        <x:v>Review clip and parent episode transcript; keep phenomenology separate from transfer evidence</x:v>
      </x:c>
      <x:c r="L7" s="21" t="str">
        <x:v>https://www.youtube.com/watch?v=-cBu2cJ89D4</x:v>
      </x:c>
      <x:c r="M7" s="21" t="str">
        <x:v>https://www.reddit.com/r/NeuronsToNirvana/comments/1kahr4m/why_does_dmt_seem_to_unlock_telepathic_abilities/</x:v>
      </x:c>
    </x:row>
    <x:row r="8">
      <x:c r="A8" s="31" t="str">
        <x:v>CHN-001</x:v>
      </x:c>
      <x:c r="B8" s="31" t="str">
        <x:v>CHN</x:v>
      </x:c>
      <x:c r="C8" s="31" t="str">
        <x:v>TEL-006</x:v>
      </x:c>
      <x:c r="D8" s="31" t="str">
        <x:v>Three channelers describe extraterrestrial intelligences</x:v>
      </x:c>
      <x:c r="E8" s="31" t="str">
        <x:v>UAP-NHI; SEMANTIC-CONVERGENCE</x:v>
      </x:c>
      <x:c r="F8" s="31" t="str">
        <x:v>MULTI_STUDY_PACKET</x:v>
      </x:c>
      <x:c r="G8" s="31" t="str">
        <x:v>PRIMARY_PROVENANCE_RESOLVED</x:v>
      </x:c>
      <x:c r="H8" s="31" t="str">
        <x:v>REVIEW_REQUIRED</x:v>
      </x:c>
      <x:c r="I8" s="31" t="str">
        <x:v>BQ002</x:v>
      </x:c>
      <x:c r="J8" s="31" t="str">
        <x:v>Textual similarity does not establish NHI, source identity or anomalous transfer</x:v>
      </x:c>
      <x:c r="K8" s="31" t="str">
        <x:v>Review full methods, prompts, nulls, multiplicity, independence and data/code</x:v>
      </x:c>
      <x:c r="L8" s="31" t="str">
        <x:v>https://noetic.org/blog/channelers-describe-the-same-extraterrestrials/</x:v>
      </x:c>
      <x:c r="M8" s="31" t="str">
        <x:v>https://www.reddit.com/r/NeuronsToNirvana/comments/1vyr82r/what_happens_when_three_channelers_describe_the/</x:v>
      </x:c>
    </x:row>
    <x:row r="9">
      <x:c r="A9" s="21" t="str">
        <x:v>TEL-007</x:v>
      </x:c>
      <x:c r="B9" s="21" t="str">
        <x:v>TEL</x:v>
      </x:c>
      <x:c r="C9" s="21" t="str"/>
      <x:c r="D9" s="21" t="str">
        <x:v>Ky Dickens / nonspeaking participants</x:v>
      </x:c>
      <x:c r="E9" s="21" t="str">
        <x:v>AUTISM-NONSPEAKING; PROTECTED-POPULATION</x:v>
      </x:c>
      <x:c r="F9" s="21" t="str">
        <x:v>MEDIA_CLAIM</x:v>
      </x:c>
      <x:c r="G9" s="21" t="str">
        <x:v>UNDERLYING_SOURCE_REUSED</x:v>
      </x:c>
      <x:c r="H9" s="33" t="str">
        <x:v>HOLD / REVIEW_REQUIRED</x:v>
      </x:c>
      <x:c r="I9" s="21" t="str">
        <x:v>BQ002</x:v>
      </x:c>
      <x:c r="J9" s="21" t="str">
        <x:v>Requires independent authorship, cueing/leakage controls, assent/consent and complete hit/miss accounting</x:v>
      </x:c>
      <x:c r="K9" s="21" t="str">
        <x:v>Reuse MBB-KY-DICKENS-2025-10-24; review transcript and protocol</x:v>
      </x:c>
      <x:c r="L9" s="21" t="str">
        <x:v>https://www.bialikbreakdown.com/episodes/better-than-cia-mind-readers-ky-dickens-has-proof-telepathy-psychic-abilities-are-real</x:v>
      </x:c>
      <x:c r="M9" s="21" t="str">
        <x:v>https://www.reddit.com/r/NeuronsToNirvana/comments/1oyi2qp/better_than_cia_mind_readers_ky_dickens_has_proof/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50" hidden="0" customWidth="1"/>
    <x:col min="5" max="5" width="24" hidden="0" customWidth="1"/>
    <x:col min="6" max="6" width="24" hidden="0" customWidth="1"/>
    <x:col min="7" max="7" width="28" hidden="0" customWidth="1"/>
    <x:col min="8" max="8" width="45" hidden="0" customWidth="1"/>
    <x:col min="9" max="9" width="20" hidden="0" customWidth="1"/>
    <x:col min="10" max="10" width="60" hidden="0" customWidth="1"/>
    <x:col min="11" max="11" width="22" hidden="0" customWidth="1"/>
  </x:cols>
  <x:sheetData>
    <x:row r="1">
      <x:c r="A1" s="18" t="str">
        <x:v>Source ID</x:v>
      </x:c>
      <x:c r="B1" s="18" t="str">
        <x:v>Series / case</x:v>
      </x:c>
      <x:c r="C1" s="18" t="str">
        <x:v>Author / publisher</x:v>
      </x:c>
      <x:c r="D1" s="18" t="str">
        <x:v>Title</x:v>
      </x:c>
      <x:c r="E1" s="18" t="str">
        <x:v>Source type</x:v>
      </x:c>
      <x:c r="F1" s="18" t="str">
        <x:v>Evidence lane</x:v>
      </x:c>
      <x:c r="G1" s="18" t="str">
        <x:v>DOI / PMID / PMCID</x:v>
      </x:c>
      <x:c r="H1" s="18" t="str">
        <x:v>Primary URL</x:v>
      </x:c>
      <x:c r="I1" s="18" t="str">
        <x:v>Disposition</x:v>
      </x:c>
      <x:c r="J1" s="18" t="str">
        <x:v>Claim boundary / limitation</x:v>
      </x:c>
      <x:c r="K1" s="18" t="str">
        <x:v>Provenance</x:v>
      </x:c>
    </x:row>
    <x:row r="2">
      <x:c r="A2" s="31" t="str">
        <x:v>SRC-BIOPK-ACHTERBERG-2005</x:v>
      </x:c>
      <x:c r="B2" s="31" t="str">
        <x:v>BIO-PK-001</x:v>
      </x:c>
      <x:c r="C2" s="31" t="str">
        <x:v>Achterberg et al.</x:v>
      </x:c>
      <x:c r="D2" s="31" t="str">
        <x:v>Evidence for correlations between distant intentionality and brain function in recipients</x:v>
      </x:c>
      <x:c r="E2" s="31" t="str">
        <x:v>PRIMARY_RESEARCH</x:v>
      </x:c>
      <x:c r="F2" s="31" t="str">
        <x:v>Claimed association</x:v>
      </x:c>
      <x:c r="G2" s="31" t="str">
        <x:v>10.1089/acm.2005.11.965 · PMID 16398587</x:v>
      </x:c>
      <x:c r="H2" s="31" t="str">
        <x:v>https://pubmed.ncbi.nlm.nih.gov/16398587/</x:v>
      </x:c>
      <x:c r="I2" s="33" t="str">
        <x:v>HOLD</x:v>
      </x:c>
      <x:c r="J2" s="31" t="str">
        <x:v>Shared fixed schedule; incomplete blinding; n=10 group analysis; no preregistration/raw data/code</x:v>
      </x:c>
      <x:c r="K2" s="31" t="str">
        <x:v>Issue #350</x:v>
      </x:c>
    </x:row>
    <x:row r="3">
      <x:c r="A3" s="21" t="str">
        <x:v>CTR-BIOPK-ACUNZO-2026</x:v>
      </x:c>
      <x:c r="B3" s="21" t="str">
        <x:v>BIO-PK-001</x:v>
      </x:c>
      <x:c r="C3" s="21" t="str">
        <x:v>Acunzo et al.</x:v>
      </x:c>
      <x:c r="D3" s="21" t="str">
        <x:v>Systematic and critical review of psi neuroimaging</x:v>
      </x:c>
      <x:c r="E3" s="21" t="str">
        <x:v>SYSTEMATIC_CRITICAL_REVIEW</x:v>
      </x:c>
      <x:c r="F3" s="21" t="str">
        <x:v>Counter-source</x:v>
      </x:c>
      <x:c r="G3" s="21" t="str">
        <x:v>PMID 42009267</x:v>
      </x:c>
      <x:c r="H3" s="21" t="str">
        <x:v>https://pubmed.ncbi.nlm.nih.gov/42009267/</x:v>
      </x:c>
      <x:c r="I3" s="21" t="str">
        <x:v>CONTEXT</x:v>
      </x:c>
      <x:c r="J3" s="21" t="str">
        <x:v>Small samples, multiplicity and seldom replicated implicit effects</x:v>
      </x:c>
      <x:c r="K3" s="21" t="str">
        <x:v>Issue #350</x:v>
      </x:c>
    </x:row>
    <x:row r="4">
      <x:c r="A4" s="31" t="str">
        <x:v>CTR-FMRI-EKLUND-2016</x:v>
      </x:c>
      <x:c r="B4" s="31" t="str">
        <x:v>BIO-PK-001</x:v>
      </x:c>
      <x:c r="C4" s="31" t="str">
        <x:v>Eklund, Nichols &amp; Knutsson</x:v>
      </x:c>
      <x:c r="D4" s="31" t="str">
        <x:v>Cluster failure: Why fMRI inferences for spatial extent have inflated false-positive rates</x:v>
      </x:c>
      <x:c r="E4" s="31" t="str">
        <x:v>METHODS_RESEARCH</x:v>
      </x:c>
      <x:c r="F4" s="31" t="str">
        <x:v>Counter-source</x:v>
      </x:c>
      <x:c r="G4" s="31" t="str">
        <x:v>PMID 27357684</x:v>
      </x:c>
      <x:c r="H4" s="31" t="str">
        <x:v>https://pubmed.ncbi.nlm.nih.gov/27357684/</x:v>
      </x:c>
      <x:c r="I4" s="31" t="str">
        <x:v>CONTEXT</x:v>
      </x:c>
      <x:c r="J4" s="31" t="str">
        <x:v>Requires validated permutation-based reanalysis; not a study-specific disproof</x:v>
      </x:c>
      <x:c r="K4" s="31" t="str">
        <x:v>Issue #350</x:v>
      </x:c>
    </x:row>
    <x:row r="5">
      <x:c r="A5" s="21" t="str">
        <x:v>CTR-PSI-MOULTON-2008</x:v>
      </x:c>
      <x:c r="B5" s="21" t="str">
        <x:v>BIO-PK-001</x:v>
      </x:c>
      <x:c r="C5" s="21" t="str">
        <x:v>Moulton &amp; Kosslyn</x:v>
      </x:c>
      <x:c r="D5" s="21" t="str">
        <x:v>Using neuroimaging to resolve the psi debate</x:v>
      </x:c>
      <x:c r="E5" s="21" t="str">
        <x:v>PRIMARY_NULL_RESULT</x:v>
      </x:c>
      <x:c r="F5" s="21" t="str">
        <x:v>Counter-source</x:v>
      </x:c>
      <x:c r="G5" s="21" t="str">
        <x:v>PMID 18095790</x:v>
      </x:c>
      <x:c r="H5" s="21" t="str">
        <x:v>https://pubmed.ncbi.nlm.nih.gov/18095790/</x:v>
      </x:c>
      <x:c r="I5" s="21" t="str">
        <x:v>CONTEXT</x:v>
      </x:c>
      <x:c r="J5" s="21" t="str">
        <x:v>Different paradigm; relevant null result, not direct replication</x:v>
      </x:c>
      <x:c r="K5" s="21" t="str">
        <x:v>Issue #350</x:v>
      </x:c>
    </x:row>
    <x:row r="6">
      <x:c r="A6" s="31" t="str">
        <x:v>CTX-RICHARDS-2005</x:v>
      </x:c>
      <x:c r="B6" s="31" t="str">
        <x:v>BIO-PK-001</x:v>
      </x:c>
      <x:c r="C6" s="31" t="str">
        <x:v>Richards et al.</x:v>
      </x:c>
      <x:c r="D6" s="31" t="str">
        <x:v>Related isolated-subject fMRI/EEG study</x:v>
      </x:c>
      <x:c r="E6" s="31" t="str">
        <x:v>RELATED_PRIMARY</x:v>
      </x:c>
      <x:c r="F6" s="31" t="str">
        <x:v>Related positive context</x:v>
      </x:c>
      <x:c r="G6" s="31" t="str">
        <x:v>10.1089/acm.2005.11.955</x:v>
      </x:c>
      <x:c r="H6" s="31" t="str">
        <x:v>https://doi.org/10.1089/acm.2005.11.955</x:v>
      </x:c>
      <x:c r="I6" s="31" t="str">
        <x:v>CONTEXT</x:v>
      </x:c>
      <x:c r="J6" s="31" t="str">
        <x:v>Overlapping team and different paradigm; not independent replication</x:v>
      </x:c>
      <x:c r="K6" s="31" t="str">
        <x:v>Issue #350</x:v>
      </x:c>
    </x:row>
    <x:row r="7">
      <x:c r="A7" s="21" t="str">
        <x:v>CTX-SCHMIDT-2012</x:v>
      </x:c>
      <x:c r="B7" s="21" t="str">
        <x:v>BIO-PK-001</x:v>
      </x:c>
      <x:c r="C7" s="21" t="str">
        <x:v>Schmidt</x:v>
      </x:c>
      <x:c r="D7" s="21" t="str">
        <x:v>Distant-intention meta-analysis</x:v>
      </x:c>
      <x:c r="E7" s="21" t="str">
        <x:v>META_ANALYSIS</x:v>
      </x:c>
      <x:c r="F7" s="21" t="str">
        <x:v>Related context</x:v>
      </x:c>
      <x:c r="G7" s="21" t="str">
        <x:v>10.1089/acm.2011.0321</x:v>
      </x:c>
      <x:c r="H7" s="21" t="str">
        <x:v>https://doi.org/10.1089/acm.2011.0321</x:v>
      </x:c>
      <x:c r="I7" s="21" t="str">
        <x:v>CONTEXT</x:v>
      </x:c>
      <x:c r="J7" s="21" t="str">
        <x:v>Different task and endpoint; cannot validate the fMRI finding directly</x:v>
      </x:c>
      <x:c r="K7" s="21" t="str">
        <x:v>Issue #350</x:v>
      </x:c>
    </x:row>
    <x:row r="8">
      <x:c r="A8" s="31" t="str">
        <x:v>IONS-WAGGONER-2025</x:v>
      </x:c>
      <x:c r="B8" s="31" t="str">
        <x:v>TEL-001</x:v>
      </x:c>
      <x:c r="C8" s="31" t="str">
        <x:v>Robert Waggoner / IONS</x:v>
      </x:c>
      <x:c r="D8" s="31" t="str">
        <x:v>Telepathy in Lucid Dreams: Stories of Incredible Connection</x:v>
      </x:c>
      <x:c r="E8" s="31" t="str">
        <x:v>SECONDARY_ARTICLE</x:v>
      </x:c>
      <x:c r="F8" s="31" t="str">
        <x:v>Testimony / interpretation</x:v>
      </x:c>
      <x:c r="G8" s="31" t="str"/>
      <x:c r="H8" s="31" t="str">
        <x:v>https://noetic.org/blog/telepathy-in-lucid-dreams/</x:v>
      </x:c>
      <x:c r="I8" s="31" t="str">
        <x:v>REVIEW_REQUIRED</x:v>
      </x:c>
      <x:c r="J8" s="31" t="str">
        <x:v>Anecdotes are not controlled dream-telepathy studies</x:v>
      </x:c>
      <x:c r="K8" s="31" t="str">
        <x:v>Issue #350</x:v>
      </x:c>
    </x:row>
    <x:row r="9">
      <x:c r="A9" s="21" t="str">
        <x:v>SOCIAL-SCALAR-UNRESOLVED</x:v>
      </x:c>
      <x:c r="B9" s="21" t="str">
        <x:v>PSI-META-001</x:v>
      </x:c>
      <x:c r="C9" s="21" t="str">
        <x:v>Unresolved</x:v>
      </x:c>
      <x:c r="D9" s="21" t="str">
        <x:v>Scalar-wave telepathy/consciousness claim</x:v>
      </x:c>
      <x:c r="E9" s="21" t="str">
        <x:v>SOCIAL_MEDIA_CLAIM</x:v>
      </x:c>
      <x:c r="F9" s="21" t="str">
        <x:v>Speculation</x:v>
      </x:c>
      <x:c r="G9" s="21" t="str"/>
      <x:c r="H9" s="21" t="str"/>
      <x:c r="I9" s="33" t="str">
        <x:v>HOLD</x:v>
      </x:c>
      <x:c r="J9" s="21" t="str">
        <x:v>Exact source and falsifiable mechanism unresolved</x:v>
      </x:c>
      <x:c r="K9" s="21" t="str">
        <x:v>Issue #350</x:v>
      </x:c>
    </x:row>
    <x:row r="10">
      <x:c r="A10" s="31" t="str">
        <x:v>REDDIT-NTN-1OEHUW4</x:v>
      </x:c>
      <x:c r="B10" s="31" t="str">
        <x:v>TEL-003</x:v>
      </x:c>
      <x:c r="C10" s="31" t="str">
        <x:v>r/NeuronsToNirvana</x:v>
      </x:c>
      <x:c r="D10" s="31" t="str">
        <x:v>LSD, Caudate Nucleus, Microdosing, Telepathy, ICPR</x:v>
      </x:c>
      <x:c r="E10" s="31" t="str">
        <x:v>COMMUNITY_DISCOVERY</x:v>
      </x:c>
      <x:c r="F10" s="31" t="str">
        <x:v>Interpretation</x:v>
      </x:c>
      <x:c r="G10" s="31" t="str"/>
      <x:c r="H10" s="31" t="str">
        <x:v>https://www.reddit.com/r/NeuronsToNirvana/comments/1oehuw4/</x:v>
      </x:c>
      <x:c r="I10" s="31" t="str">
        <x:v>REVIEW_REQUIRED</x:v>
      </x:c>
      <x:c r="J10" s="31" t="str">
        <x:v>Body/citations not retrieved; reuse existing record</x:v>
      </x:c>
      <x:c r="K10" s="31" t="str">
        <x:v>Repository manifest</x:v>
      </x:c>
    </x:row>
    <x:row r="11">
      <x:c r="A11" s="21" t="str">
        <x:v>IONS-TELEPATHY-2025</x:v>
      </x:c>
      <x:c r="B11" s="21" t="str">
        <x:v>TEL-004</x:v>
      </x:c>
      <x:c r="C11" s="21" t="str">
        <x:v>IONS Science Team</x:v>
      </x:c>
      <x:c r="D11" s="21" t="str">
        <x:v>Telepathy is Real. Explore the Science.</x:v>
      </x:c>
      <x:c r="E11" s="21" t="str">
        <x:v>INSTITUTIONAL_SECONDARY</x:v>
      </x:c>
      <x:c r="F11" s="21" t="str">
        <x:v>Claimed evidence / review required</x:v>
      </x:c>
      <x:c r="G11" s="21" t="str"/>
      <x:c r="H11" s="21" t="str">
        <x:v>https://noetic.org/blog/telepathy-is-real/</x:v>
      </x:c>
      <x:c r="I11" s="33" t="str">
        <x:v>HOLD</x:v>
      </x:c>
      <x:c r="J11" s="21" t="str">
        <x:v>Headline is attributed wording, not AkashicNET conclusion</x:v>
      </x:c>
      <x:c r="K11" s="21" t="str">
        <x:v>Issue #350</x:v>
      </x:c>
    </x:row>
    <x:row r="12">
      <x:c r="A12" s="31" t="str">
        <x:v>WAHBEH-2018-EXCEPTIONAL</x:v>
      </x:c>
      <x:c r="B12" s="31" t="str">
        <x:v>TEL-004</x:v>
      </x:c>
      <x:c r="C12" s="31" t="str">
        <x:v>Wahbeh et al.</x:v>
      </x:c>
      <x:c r="D12" s="31" t="str">
        <x:v>Exceptional experiences reported by scientists and engineers</x:v>
      </x:c>
      <x:c r="E12" s="31" t="str">
        <x:v>SURVEY</x:v>
      </x:c>
      <x:c r="F12" s="31" t="str">
        <x:v>Self-report prevalence</x:v>
      </x:c>
      <x:c r="G12" s="31" t="str">
        <x:v>10.1016/j.explore.2018.05.002</x:v>
      </x:c>
      <x:c r="H12" s="31" t="str">
        <x:v>https://doi.org/10.1016/j.explore.2018.05.002</x:v>
      </x:c>
      <x:c r="I12" s="31" t="str">
        <x:v>CONTEXT</x:v>
      </x:c>
      <x:c r="J12" s="31" t="str">
        <x:v>Reports are not verification of telepathic transfer</x:v>
      </x:c>
      <x:c r="K12" s="31" t="str">
        <x:v>Issue #350</x:v>
      </x:c>
    </x:row>
    <x:row r="13">
      <x:c r="A13" s="21" t="str">
        <x:v>WAHBEH-2024-TELEPHONE</x:v>
      </x:c>
      <x:c r="B13" s="21" t="str">
        <x:v>TEL-004</x:v>
      </x:c>
      <x:c r="C13" s="21" t="str">
        <x:v>Wahbeh et al.</x:v>
      </x:c>
      <x:c r="D13" s="21" t="str">
        <x:v>Telephone guessing exploratory experiment</x:v>
      </x:c>
      <x:c r="E13" s="21" t="str">
        <x:v>PRIMARY_EXPLORATORY</x:v>
      </x:c>
      <x:c r="F13" s="21" t="str">
        <x:v>Forced-choice result</x:v>
      </x:c>
      <x:c r="G13" s="21" t="str">
        <x:v>10.1016/j.explore.2023.08.008</x:v>
      </x:c>
      <x:c r="H13" s="21" t="str">
        <x:v>https://doi.org/10.1016/j.explore.2023.08.008</x:v>
      </x:c>
      <x:c r="I13" s="33" t="str">
        <x:v>HOLD</x:v>
      </x:c>
      <x:c r="J13" s="21" t="str">
        <x:v>Pre-selected trials above chance; post-selected trials not; protocol changed during recruitment</x:v>
      </x:c>
      <x:c r="K13" s="21" t="str">
        <x:v>Issue #350</x:v>
      </x:c>
    </x:row>
    <x:row r="14">
      <x:c r="A14" s="31" t="str">
        <x:v>WAHBEH-2022-NOETIC</x:v>
      </x:c>
      <x:c r="B14" s="31" t="str">
        <x:v>TEL-004</x:v>
      </x:c>
      <x:c r="C14" s="31" t="str">
        <x:v>Wahbeh et al.</x:v>
      </x:c>
      <x:c r="D14" s="31" t="str">
        <x:v>Qualitative first-person accounts of noetic experiences</x:v>
      </x:c>
      <x:c r="E14" s="31" t="str">
        <x:v>QUALITATIVE_RESEARCH</x:v>
      </x:c>
      <x:c r="F14" s="31" t="str">
        <x:v>Testimony themes</x:v>
      </x:c>
      <x:c r="G14" s="31" t="str">
        <x:v>10.12688/f1000research.52957.3</x:v>
      </x:c>
      <x:c r="H14" s="31" t="str">
        <x:v>https://doi.org/10.12688/f1000research.52957.3</x:v>
      </x:c>
      <x:c r="I14" s="31" t="str">
        <x:v>CONTEXT</x:v>
      </x:c>
      <x:c r="J14" s="31" t="str">
        <x:v>Not a double-blind Ganzfeld experiment or meta-analysis</x:v>
      </x:c>
      <x:c r="K14" s="31" t="str">
        <x:v>Issue #350</x:v>
      </x:c>
    </x:row>
    <x:row r="15">
      <x:c r="A15" s="21" t="str">
        <x:v>RADIN-2008-DI</x:v>
      </x:c>
      <x:c r="B15" s="21" t="str">
        <x:v>TEL-004</x:v>
      </x:c>
      <x:c r="C15" s="21" t="str">
        <x:v>Radin et al.</x:v>
      </x:c>
      <x:c r="D15" s="21" t="str">
        <x:v>Distant intention and skin conductance</x:v>
      </x:c>
      <x:c r="E15" s="21" t="str">
        <x:v>PRIMARY_EXPLORATORY</x:v>
      </x:c>
      <x:c r="F15" s="21" t="str">
        <x:v>Physiological correlation</x:v>
      </x:c>
      <x:c r="G15" s="21" t="str"/>
      <x:c r="H15" s="21" t="str"/>
      <x:c r="I15" s="33" t="str">
        <x:v>HOLD</x:v>
      </x:c>
      <x:c r="J15" s="21" t="str">
        <x:v>Autonomic correlation is not semantic information transfer; planned between-group differences not significant</x:v>
      </x:c>
      <x:c r="K15" s="21" t="str">
        <x:v>Issue #350</x:v>
      </x:c>
    </x:row>
    <x:row r="16">
      <x:c r="A16" s="31" t="str">
        <x:v>DANNY-JONES-DMT-CLIP</x:v>
      </x:c>
      <x:c r="B16" s="31" t="str">
        <x:v>TEL-005</x:v>
      </x:c>
      <x:c r="C16" s="31" t="str">
        <x:v>Danny Jones Clips / Rick Strassman</x:v>
      </x:c>
      <x:c r="D16" s="31" t="str">
        <x:v>Can DMT Unlock Telepathic Abilities?</x:v>
      </x:c>
      <x:c r="E16" s="31" t="str">
        <x:v>VIDEO_CLIP</x:v>
      </x:c>
      <x:c r="F16" s="31" t="str">
        <x:v>Testimony / hypothesis</x:v>
      </x:c>
      <x:c r="G16" s="31" t="str">
        <x:v>YouTube -cBu2cJ89D4</x:v>
      </x:c>
      <x:c r="H16" s="31" t="str">
        <x:v>https://www.youtube.com/watch?v=-cBu2cJ89D4</x:v>
      </x:c>
      <x:c r="I16" s="33" t="str">
        <x:v>HOLD</x:v>
      </x:c>
      <x:c r="J16" s="31" t="str">
        <x:v>Excerpt; no verified transcript or controlled transfer study</x:v>
      </x:c>
      <x:c r="K16" s="31" t="str">
        <x:v>Issue #354</x:v>
      </x:c>
    </x:row>
    <x:row r="17">
      <x:c r="A17" s="21" t="str">
        <x:v>DANNY-JONES-299</x:v>
      </x:c>
      <x:c r="B17" s="21" t="str">
        <x:v>TEL-005</x:v>
      </x:c>
      <x:c r="C17" s="21" t="str">
        <x:v>Danny Jones Podcast / Rick Strassman</x:v>
      </x:c>
      <x:c r="D17" s="21" t="str">
        <x:v>Podcast #299 with Rick Strassman</x:v>
      </x:c>
      <x:c r="E17" s="21" t="str">
        <x:v>PODCAST_EPISODE</x:v>
      </x:c>
      <x:c r="F17" s="21" t="str">
        <x:v>Parent manifestation</x:v>
      </x:c>
      <x:c r="G17" s="21" t="str">
        <x:v>YouTube WmD3uDMH7LI</x:v>
      </x:c>
      <x:c r="H17" s="21" t="str">
        <x:v>https://www.youtube.com/watch?v=WmD3uDMH7LI</x:v>
      </x:c>
      <x:c r="I17" s="33" t="str">
        <x:v>HOLD</x:v>
      </x:c>
      <x:c r="J17" s="21" t="str">
        <x:v>Same media lineage as clip; not independent corroboration</x:v>
      </x:c>
      <x:c r="K17" s="21" t="str">
        <x:v>Issue #354</x:v>
      </x:c>
    </x:row>
    <x:row r="18">
      <x:c r="A18" s="31" t="str">
        <x:v>CHN-WF-SEMANTIC-2026</x:v>
      </x:c>
      <x:c r="B18" s="31" t="str">
        <x:v>CHN-001</x:v>
      </x:c>
      <x:c r="C18" s="31" t="str">
        <x:v>World Futures</x:v>
      </x:c>
      <x:c r="D18" s="31" t="str">
        <x:v>Semantic Structure and Correspondence in Prospective Trance-Channeled Communications</x:v>
      </x:c>
      <x:c r="E18" s="31" t="str">
        <x:v>PRIMARY_RESEARCH</x:v>
      </x:c>
      <x:c r="F18" s="31" t="str">
        <x:v>Interpretation only</x:v>
      </x:c>
      <x:c r="G18" s="31" t="str">
        <x:v>10.1080/02604027.2026.2656120</x:v>
      </x:c>
      <x:c r="H18" s="31" t="str">
        <x:v>https://doi.org/10.1080/02604027.2026.2656120</x:v>
      </x:c>
      <x:c r="I18" s="31" t="str">
        <x:v>REVIEW_REQUIRED</x:v>
      </x:c>
      <x:c r="J18" s="31" t="str">
        <x:v>Semantic convergence does not establish external entities or anomalous transfer</x:v>
      </x:c>
      <x:c r="K18" s="31" t="str">
        <x:v>Issue #350</x:v>
      </x:c>
    </x:row>
    <x:row r="19">
      <x:c r="A19" s="21" t="str">
        <x:v>CHN-WF-QUAL-2026</x:v>
      </x:c>
      <x:c r="B19" s="21" t="str">
        <x:v>CHN-001</x:v>
      </x:c>
      <x:c r="C19" s="21" t="str">
        <x:v>World Futures</x:v>
      </x:c>
      <x:c r="D19" s="21" t="str">
        <x:v>Qualitative Structure and Meaning in Prospective Trance-Channeled Communications</x:v>
      </x:c>
      <x:c r="E19" s="21" t="str">
        <x:v>PRIMARY_RESEARCH</x:v>
      </x:c>
      <x:c r="F19" s="21" t="str">
        <x:v>Interpretation only</x:v>
      </x:c>
      <x:c r="G19" s="21" t="str">
        <x:v>10.1080/02604027.2026.2656119</x:v>
      </x:c>
      <x:c r="H19" s="21" t="str">
        <x:v>https://doi.org/10.1080/02604027.2026.2656119</x:v>
      </x:c>
      <x:c r="I19" s="21" t="str">
        <x:v>REVIEW_REQUIRED</x:v>
      </x:c>
      <x:c r="J19" s="21" t="str">
        <x:v>Qualitative structure is not source authentication</x:v>
      </x:c>
      <x:c r="K19" s="21" t="str">
        <x:v>Issue #350</x:v>
      </x:c>
    </x:row>
    <x:row r="20">
      <x:c r="A20" s="31" t="str">
        <x:v>CHN-JSE-2026</x:v>
      </x:c>
      <x:c r="B20" s="31" t="str">
        <x:v>CHN-001</x:v>
      </x:c>
      <x:c r="C20" s="31" t="str">
        <x:v>Journal of Scientific Exploration</x:v>
      </x:c>
      <x:c r="D20" s="31" t="str">
        <x:v>Semantic Correspondence Between Trance-Channeled ET Messages and Ufological Records</x:v>
      </x:c>
      <x:c r="E20" s="31" t="str">
        <x:v>PRIMARY_RESEARCH</x:v>
      </x:c>
      <x:c r="F20" s="31" t="str">
        <x:v>Interpretation only</x:v>
      </x:c>
      <x:c r="G20" s="31" t="str">
        <x:v>10.31275/20263817</x:v>
      </x:c>
      <x:c r="H20" s="31" t="str">
        <x:v>https://doi.org/10.31275/20263817</x:v>
      </x:c>
      <x:c r="I20" s="31" t="str">
        <x:v>REVIEW_REQUIRED</x:v>
      </x:c>
      <x:c r="J20" s="31" t="str">
        <x:v>Retrospective cross-corpus similarity is not independent contact</x:v>
      </x:c>
      <x:c r="K20" s="31" t="str">
        <x:v>Issue #350</x:v>
      </x:c>
    </x:row>
    <x:row r="21">
      <x:c r="A21" s="21" t="str">
        <x:v>MBB-KY-DICKENS-2025-10-24</x:v>
      </x:c>
      <x:c r="B21" s="21" t="str">
        <x:v>TEL-007</x:v>
      </x:c>
      <x:c r="C21" s="21" t="str">
        <x:v>Mayim Bialik’s Breakdown</x:v>
      </x:c>
      <x:c r="D21" s="21" t="str">
        <x:v>Ky Dickens Has Proof Telepathy &amp; Psychic Abilities Are Real!</x:v>
      </x:c>
      <x:c r="E21" s="21" t="str">
        <x:v>PODCAST_METADATA</x:v>
      </x:c>
      <x:c r="F21" s="21" t="str">
        <x:v>Lived experience / testimony</x:v>
      </x:c>
      <x:c r="G21" s="21" t="str"/>
      <x:c r="H21" s="21" t="str">
        <x:v>https://www.bialikbreakdown.com/episodes/better-than-cia-mind-readers-ky-dickens-has-proof-telepathy-psychic-abilities-are-real</x:v>
      </x:c>
      <x:c r="I21" s="33" t="str">
        <x:v>HOLD</x:v>
      </x:c>
      <x:c r="J21" s="21" t="str">
        <x:v>Title remains attributed; transcript/protocol not reviewed</x:v>
      </x:c>
      <x:c r="K21" s="21" t="str">
        <x:v>Repository manifest</x:v>
      </x:c>
    </x:row>
    <x:row r="22">
      <x:c r="A22" s="31" t="str">
        <x:v>MBB-CHARLES-LIU-2026-09-02</x:v>
      </x:c>
      <x:c r="B22" s="31" t="str">
        <x:v>TEL / NDE</x:v>
      </x:c>
      <x:c r="C22" s="31" t="str">
        <x:v>Mayim Bialik’s Breakdown</x:v>
      </x:c>
      <x:c r="D22" s="31" t="str">
        <x:v>Near Death Experiences, Telepathy &amp; the Multiverse</x:v>
      </x:c>
      <x:c r="E22" s="31" t="str">
        <x:v>PODCAST_METADATA</x:v>
      </x:c>
      <x:c r="F22" s="31" t="str">
        <x:v>Interpretation</x:v>
      </x:c>
      <x:c r="G22" s="31" t="str"/>
      <x:c r="H22" s="31" t="str">
        <x:v>https://www.bialikbreakdown.com/episodes/part-two-near-death-experiences-telepathy-the-multiverse-an-astrophysicist-explains-dr-charles-liu</x:v>
      </x:c>
      <x:c r="I22" s="31" t="str">
        <x:v>REVIEW_REQUIRED</x:v>
      </x:c>
      <x:c r="J22" s="31" t="str">
        <x:v>Expert discussion is not empirical demonstration</x:v>
      </x:c>
      <x:c r="K22" s="31" t="str">
        <x:v>Repository manifest</x:v>
      </x:c>
    </x:row>
    <x:row r="23">
      <x:c r="A23" s="21" t="str">
        <x:v>MBB-BARBRA-BANNER-2026-09-04</x:v>
      </x:c>
      <x:c r="B23" s="21" t="str">
        <x:v>MED / ADC</x:v>
      </x:c>
      <x:c r="C23" s="21" t="str">
        <x:v>Mayim Bialik’s Breakdown</x:v>
      </x:c>
      <x:c r="D23" s="21" t="str">
        <x:v>No One Is Judged When They Die. Even Abusers Apologize</x:v>
      </x:c>
      <x:c r="E23" s="21" t="str">
        <x:v>PODCAST_METADATA</x:v>
      </x:c>
      <x:c r="F23" s="21" t="str">
        <x:v>Lived experience / testimony</x:v>
      </x:c>
      <x:c r="G23" s="21" t="str"/>
      <x:c r="H23" s="21" t="str">
        <x:v>https://www.bialikbreakdown.com/episodes/no-one-is-judged-when-they-die-even-abusers-apologize-barbra-banner</x:v>
      </x:c>
      <x:c r="I23" s="21" t="str">
        <x:v>REVIEW_REQUIRED</x:v>
      </x:c>
      <x:c r="J23" s="21" t="str">
        <x:v>Mediumship and ADC statements remain attributed testimony</x:v>
      </x:c>
      <x:c r="K23" s="21" t="str">
        <x:v>Repository manifest</x:v>
      </x:c>
    </x:row>
    <x:row r="24">
      <x:c r="A24" s="31" t="str">
        <x:v>MBB-SHARON-STONE-2026-09-08-09</x:v>
      </x:c>
      <x:c r="B24" s="31" t="str">
        <x:v>NDE / REI</x:v>
      </x:c>
      <x:c r="C24" s="31" t="str">
        <x:v>Mayim Bialik’s Breakdown</x:v>
      </x:c>
      <x:c r="D24" s="31" t="str">
        <x:v>Sharon Stone Saw the Afterlife</x:v>
      </x:c>
      <x:c r="E24" s="31" t="str">
        <x:v>PODCAST_METADATA</x:v>
      </x:c>
      <x:c r="F24" s="31" t="str">
        <x:v>Lived experience / testimony</x:v>
      </x:c>
      <x:c r="G24" s="31" t="str"/>
      <x:c r="H24" s="31" t="str">
        <x:v>https://www.bialikbreakdown.com/episodes/sharon-stone-saw-the-afterlife-5-orbs-told-her-to-stay-share-their-message</x:v>
      </x:c>
      <x:c r="I24" s="31" t="str">
        <x:v>REVIEW_REQUIRED</x:v>
      </x:c>
      <x:c r="J24" s="31" t="str">
        <x:v>First-person account; no entity, reincarnation or survival authentication</x:v>
      </x:c>
      <x:c r="K24" s="31" t="str">
        <x:v>Repository manifest</x:v>
      </x:c>
    </x:row>
    <x:row r="25">
      <x:c r="A25" s="21" t="str">
        <x:v>MBB-JAMES-GIORDANO-2026-09-11</x:v>
      </x:c>
      <x:c r="B25" s="21" t="str">
        <x:v>TEL / RV</x:v>
      </x:c>
      <x:c r="C25" s="21" t="str">
        <x:v>Mayim Bialik’s Breakdown</x:v>
      </x:c>
      <x:c r="D25" s="21" t="str">
        <x:v>CIA Mind Control, MKUltra &amp; Energy Weapons Are Real</x:v>
      </x:c>
      <x:c r="E25" s="21" t="str">
        <x:v>PODCAST_METADATA</x:v>
      </x:c>
      <x:c r="F25" s="21" t="str">
        <x:v>Interpretation</x:v>
      </x:c>
      <x:c r="G25" s="21" t="str"/>
      <x:c r="H25" s="21" t="str">
        <x:v>https://www.bialikbreakdown.com/episodes/cia-mind-control-mkultra-energy-weapons-are-real-why-a-pentagon-advisor-wont-rule-out-telepathy</x:v>
      </x:c>
      <x:c r="I25" s="21" t="str">
        <x:v>REVIEW_REQUIRED</x:v>
      </x:c>
      <x:c r="J25" s="21" t="str">
        <x:v>Not ruling out telepathy is not positive evidence</x:v>
      </x:c>
      <x:c r="K25" s="21" t="str">
        <x:v>Repository manifest</x:v>
      </x:c>
    </x:row>
    <x:row r="26">
      <x:c r="A26" s="31" t="str">
        <x:v>MBB-LISA-KUDROW-2026-07-21-23</x:v>
      </x:c>
      <x:c r="B26" s="31" t="str">
        <x:v>ADC / RV</x:v>
      </x:c>
      <x:c r="C26" s="31" t="str">
        <x:v>Mayim Bialik’s Breakdown</x:v>
      </x:c>
      <x:c r="D26" s="31" t="str">
        <x:v>Lisa Kudrow consciousness and intuition conversations</x:v>
      </x:c>
      <x:c r="E26" s="31" t="str">
        <x:v>PODCAST_METADATA</x:v>
      </x:c>
      <x:c r="F26" s="31" t="str">
        <x:v>Lived experience / testimony</x:v>
      </x:c>
      <x:c r="G26" s="31" t="str"/>
      <x:c r="H26" s="31" t="str">
        <x:v>https://www.bialikbreakdown.com/episodes/my-dead-mother-texted-me-from-the-other-side-a-voice-predicted-my-career-first-lisa-kudrow</x:v>
      </x:c>
      <x:c r="I26" s="31" t="str">
        <x:v>REVIEW_REQUIRED</x:v>
      </x:c>
      <x:c r="J26" s="31" t="str">
        <x:v>Claircognizance remains attributed experience</x:v>
      </x:c>
      <x:c r="K26" s="31" t="str">
        <x:v>Repository manifest</x:v>
      </x:c>
    </x:row>
    <x:row r="27">
      <x:c r="A27" s="21" t="str">
        <x:v>REDDIT-NTN-1EWRB8E</x:v>
      </x:c>
      <x:c r="B27" s="21" t="str">
        <x:v>CONSCIOUSNESS_CONTEXT</x:v>
      </x:c>
      <x:c r="C27" s="21" t="str">
        <x:v>r/NeuronsToNirvana</x:v>
      </x:c>
      <x:c r="D27" s="21" t="str">
        <x:v>Hidden Consciousness Detected in 25% of Unresponsive Patients Tested</x:v>
      </x:c>
      <x:c r="E27" s="21" t="str">
        <x:v>COMMUNITY_DISCOVERY</x:v>
      </x:c>
      <x:c r="F27" s="21" t="str">
        <x:v>Interpretation</x:v>
      </x:c>
      <x:c r="G27" s="21" t="str"/>
      <x:c r="H27" s="21" t="str">
        <x:v>https://www.reddit.com/r/NeuronsToNirvana/comments/1ewrb8e/</x:v>
      </x:c>
      <x:c r="I27" s="21" t="str">
        <x:v>CONTEXT</x:v>
      </x:c>
      <x:c r="J27" s="21" t="str">
        <x:v>Covert cognition is not telepathy and does not directly generalize to autism</x:v>
      </x:c>
      <x:c r="K27" s="21" t="str">
        <x:v>Repository manifest</x:v>
      </x:c>
    </x:row>
    <x:row r="28">
      <x:c r="A28" s="31" t="str">
        <x:v>PNAS-STEPHENS-2010</x:v>
      </x:c>
      <x:c r="B28" s="31" t="str">
        <x:v>SOCIAL_NEUROSCIENCE</x:v>
      </x:c>
      <x:c r="C28" s="31" t="str">
        <x:v>PNAS</x:v>
      </x:c>
      <x:c r="D28" s="31" t="str">
        <x:v>Speaker-listener neural coupling underlies successful communication</x:v>
      </x:c>
      <x:c r="E28" s="31" t="str">
        <x:v>PRIMARY_RESEARCH</x:v>
      </x:c>
      <x:c r="F28" s="31" t="str">
        <x:v>Interpretation</x:v>
      </x:c>
      <x:c r="G28" s="31" t="str">
        <x:v>10.1073/pnas.1008662107</x:v>
      </x:c>
      <x:c r="H28" s="31" t="str">
        <x:v>https://www.pnas.org/doi/10.1073/pnas.1008662107</x:v>
      </x:c>
      <x:c r="I28" s="31" t="str">
        <x:v>CONTEXT</x:v>
      </x:c>
      <x:c r="J28" s="31" t="str">
        <x:v>Ordinary communication coupling does not establish distant thought transfer</x:v>
      </x:c>
      <x:c r="K28" s="31" t="str">
        <x:v>Repository manifest</x:v>
      </x:c>
    </x:row>
    <x:row r="29">
      <x:c r="A29" s="21" t="str">
        <x:v>NEJM-CLAASSEN-2024-CMD</x:v>
      </x:c>
      <x:c r="B29" s="21" t="str">
        <x:v>CONSCIOUSNESS_CONTEXT</x:v>
      </x:c>
      <x:c r="C29" s="21" t="str">
        <x:v>NEJM</x:v>
      </x:c>
      <x:c r="D29" s="21" t="str">
        <x:v>Cognitive Motor Dissociation in Disorders of Consciousness</x:v>
      </x:c>
      <x:c r="E29" s="21" t="str">
        <x:v>PRIMARY_RESEARCH</x:v>
      </x:c>
      <x:c r="F29" s="21" t="str">
        <x:v>Interpretation</x:v>
      </x:c>
      <x:c r="G29" s="21" t="str">
        <x:v>10.1056/NEJMoa2400645</x:v>
      </x:c>
      <x:c r="H29" s="21" t="str">
        <x:v>https://www.nejm.org/doi/full/10.1056/NEJMoa2400645</x:v>
      </x:c>
      <x:c r="I29" s="21" t="str">
        <x:v>CONTEXT</x:v>
      </x:c>
      <x:c r="J29" s="21" t="str">
        <x:v>Covert command following does not establish telepathy</x:v>
      </x:c>
      <x:c r="K29" s="21" t="str">
        <x:v>Repository manifest</x:v>
      </x:c>
    </x:row>
    <x:row r="30">
      <x:c r="A30" s="31" t="str">
        <x:v>FRONTIERS-KETTNER-2021-COMMUNITAS</x:v>
      </x:c>
      <x:c r="B30" s="31" t="str">
        <x:v>PSYCHEDELIC_CONTEXT</x:v>
      </x:c>
      <x:c r="C30" s="31" t="str">
        <x:v>Frontiers in Pharmacology</x:v>
      </x:c>
      <x:c r="D30" s="31" t="str">
        <x:v>Psychedelic Communitas</x:v>
      </x:c>
      <x:c r="E30" s="31" t="str">
        <x:v>PRIMARY_RESEARCH</x:v>
      </x:c>
      <x:c r="F30" s="31" t="str">
        <x:v>Interpretation</x:v>
      </x:c>
      <x:c r="G30" s="31" t="str">
        <x:v>PMCID PMC8717779</x:v>
      </x:c>
      <x:c r="H30" s="31" t="str">
        <x:v>https://pmc.ncbi.nlm.nih.gov/articles/PMC8717779/</x:v>
      </x:c>
      <x:c r="I30" s="31" t="str">
        <x:v>CONTEXT</x:v>
      </x:c>
      <x:c r="J30" s="31" t="str">
        <x:v>Perceived togetherness is not nonlocal transfer</x:v>
      </x:c>
      <x:c r="K30" s="31" t="str">
        <x:v>Repository manifest</x:v>
      </x:c>
    </x:row>
    <x:row r="31">
      <x:c r="A31" s="21" t="str">
        <x:v>COUNTER-TTG-2026</x:v>
      </x:c>
      <x:c r="B31" s="21" t="str">
        <x:v>TEL-007</x:v>
      </x:c>
      <x:c r="C31" s="21" t="str">
        <x:v>Thinking Person’s Guide to Autism</x:v>
      </x:c>
      <x:c r="D31" s="21" t="str">
        <x:v>The Telepathy Tapes Is Such A Hot Mess</x:v>
      </x:c>
      <x:c r="E31" s="21" t="str">
        <x:v>CRITICAL_COMMENTARY</x:v>
      </x:c>
      <x:c r="F31" s="21" t="str">
        <x:v>Adversarial perspective</x:v>
      </x:c>
      <x:c r="G31" s="21" t="str"/>
      <x:c r="H31" s="21" t="str">
        <x:v>https://thinkingautismguide.com/2026/02/the-telepathy-tapes-is-such-a-hot-mess.html</x:v>
      </x:c>
      <x:c r="I31" s="21" t="str">
        <x:v>CONTEXT</x:v>
      </x:c>
      <x:c r="J31" s="21" t="str">
        <x:v>Methodological objections are testable but not automatically dispositive</x:v>
      </x:c>
      <x:c r="K31" s="21" t="str">
        <x:v>Repository manifest</x:v>
      </x:c>
    </x:row>
    <x:row r="32">
      <x:c r="A32" s="31" t="str">
        <x:v>ASHA-FC-POSITION-2018</x:v>
      </x:c>
      <x:c r="B32" s="31" t="str">
        <x:v>TEL-007</x:v>
      </x:c>
      <x:c r="C32" s="31" t="str">
        <x:v>ASHA</x:v>
      </x:c>
      <x:c r="D32" s="31" t="str">
        <x:v>Facilitated Communication — Position Statement</x:v>
      </x:c>
      <x:c r="E32" s="31" t="str">
        <x:v>PROFESSIONAL_POSITION</x:v>
      </x:c>
      <x:c r="F32" s="31" t="str">
        <x:v>Established guidance</x:v>
      </x:c>
      <x:c r="G32" s="31" t="str"/>
      <x:c r="H32" s="31" t="str">
        <x:v>https://www.asha.org/policy/ps2018-00352/</x:v>
      </x:c>
      <x:c r="I32" s="31" t="str">
        <x:v>CONTEXT</x:v>
      </x:c>
      <x:c r="J32" s="31" t="str">
        <x:v>Addresses authorship risk; does not negate cognition or all communication</x:v>
      </x:c>
      <x:c r="K32" s="31" t="str">
        <x:v>Repository manifest</x:v>
      </x:c>
    </x:row>
    <x:row r="33">
      <x:c r="A33" s="21" t="str">
        <x:v>SCHLOSSER-RPM-S2C-2026</x:v>
      </x:c>
      <x:c r="B33" s="21" t="str">
        <x:v>TEL-007</x:v>
      </x:c>
      <x:c r="C33" s="21" t="str">
        <x:v>Review Journal of Autism and Developmental Disorders</x:v>
      </x:c>
      <x:c r="D33" s="21" t="str">
        <x:v>Systematic Review of Authorship in RPM, S2C and Variants</x:v>
      </x:c>
      <x:c r="E33" s="21" t="str">
        <x:v>SYSTEMATIC_REVIEW</x:v>
      </x:c>
      <x:c r="F33" s="21" t="str">
        <x:v>Interpretation</x:v>
      </x:c>
      <x:c r="G33" s="21" t="str">
        <x:v>10.1007/s40489-026-00569-7</x:v>
      </x:c>
      <x:c r="H33" s="21" t="str">
        <x:v>https://link.springer.com/article/10.1007/s40489-026-00569-7</x:v>
      </x:c>
      <x:c r="I33" s="21" t="str">
        <x:v>CONTEXT</x:v>
      </x:c>
      <x:c r="J33" s="21" t="str">
        <x:v>Evaluates authorship evidence; dignity and communication potential remain protected</x:v>
      </x:c>
      <x:c r="K33" s="21" t="str">
        <x:v>Repository manifest</x:v>
      </x:c>
    </x:row>
    <x:row r="34">
      <x:c r="A34" s="31" t="str">
        <x:v>MILTON-WISEMAN-1999</x:v>
      </x:c>
      <x:c r="B34" s="31" t="str">
        <x:v>TEL</x:v>
      </x:c>
      <x:c r="C34" s="31" t="str">
        <x:v>Psychological Bulletin</x:v>
      </x:c>
      <x:c r="D34" s="31" t="str">
        <x:v>Does Psi Exist? Lack of Replication of an Anomalous Process of Information Transfer</x:v>
      </x:c>
      <x:c r="E34" s="31" t="str">
        <x:v>META_ANALYSIS</x:v>
      </x:c>
      <x:c r="F34" s="31" t="str">
        <x:v>Counter-source</x:v>
      </x:c>
      <x:c r="G34" s="31" t="str">
        <x:v>10.1037/0033-2909.125.4.387</x:v>
      </x:c>
      <x:c r="H34" s="31" t="str">
        <x:v>https://pubmed.ncbi.nlm.nih.gov/10414223/</x:v>
      </x:c>
      <x:c r="I34" s="31" t="str">
        <x:v>CONTEXT</x:v>
      </x:c>
      <x:c r="J34" s="31" t="str">
        <x:v>Counter-source for Ganzfeld literature, not all anomalous-cognition claims</x:v>
      </x:c>
      <x:c r="K34" s="31" t="str">
        <x:v>Repository manifest</x:v>
      </x:c>
    </x:row>
    <x:row r="35">
      <x:c r="A35" s="21" t="str">
        <x:v>GRAFF-RADFORD-2017</x:v>
      </x:c>
      <x:c r="B35" s="21" t="str">
        <x:v>TEL-003</x:v>
      </x:c>
      <x:c r="C35" s="21" t="str">
        <x:v>Neurology</x:v>
      </x:c>
      <x:c r="D35" s="21" t="str">
        <x:v>Caudate nucleus as a component of networks controlling behavior</x:v>
      </x:c>
      <x:c r="E35" s="21" t="str">
        <x:v>PRIMARY_RESEARCH</x:v>
      </x:c>
      <x:c r="F35" s="21" t="str">
        <x:v>Established ordinary neuroscience</x:v>
      </x:c>
      <x:c r="G35" s="21" t="str">
        <x:v>PMCID PMC5696645</x:v>
      </x:c>
      <x:c r="H35" s="21" t="str">
        <x:v>https://pmc.ncbi.nlm.nih.gov/articles/PMC5696645/</x:v>
      </x:c>
      <x:c r="I35" s="21" t="str">
        <x:v>CONTEXT</x:v>
      </x:c>
      <x:c r="J35" s="21" t="str">
        <x:v>No evidence caudate anatomy enables telepathy</x:v>
      </x:c>
      <x:c r="K35" s="21" t="str">
        <x:v>Repository manifest</x:v>
      </x:c>
    </x:row>
    <x:row r="36">
      <x:c r="A36" s="31" t="str">
        <x:v>WORK-343-SURVIVING-DEATH-2021</x:v>
      </x:c>
      <x:c r="B36" s="31" t="str">
        <x:v>NDE / MED / ADC / REI</x:v>
      </x:c>
      <x:c r="C36" s="31" t="str">
        <x:v>Netflix</x:v>
      </x:c>
      <x:c r="D36" s="31" t="str">
        <x:v>Surviving Death</x:v>
      </x:c>
      <x:c r="E36" s="31" t="str">
        <x:v>DOCUMENTARY_SERIES</x:v>
      </x:c>
      <x:c r="F36" s="31" t="str">
        <x:v>Documentary map</x:v>
      </x:c>
      <x:c r="G36" s="31" t="str"/>
      <x:c r="H36" s="31" t="str">
        <x:v>https://www.netflix.com/title/80998853</x:v>
      </x:c>
      <x:c r="I36" s="31" t="str">
        <x:v>REVIEW_CANDIDATE</x:v>
      </x:c>
      <x:c r="J36" s="31" t="str">
        <x:v>Catalogue metadata only; scenes/dialogue/timestamps unverified</x:v>
      </x:c>
      <x:c r="K36" s="31" t="str">
        <x:v>Issue #343 / PR #352</x:v>
      </x:c>
    </x:row>
    <x:row r="37">
      <x:c r="A37" s="21" t="str">
        <x:v>WORK-343-UVA-COMPANION</x:v>
      </x:c>
      <x:c r="B37" s="21" t="str">
        <x:v>NDE / REI</x:v>
      </x:c>
      <x:c r="C37" s="21" t="str">
        <x:v>UVA DOPS</x:v>
      </x:c>
      <x:c r="D37" s="21" t="str">
        <x:v>Surviving Death: Now Streaming on Netflix</x:v>
      </x:c>
      <x:c r="E37" s="21" t="str">
        <x:v>INSTITUTIONAL_COMPANION</x:v>
      </x:c>
      <x:c r="F37" s="21" t="str">
        <x:v>Derivative companion</x:v>
      </x:c>
      <x:c r="G37" s="21" t="str"/>
      <x:c r="H37" s="21" t="str">
        <x:v>https://med.virginia.edu/perceptual-studies/dops-media/surviving-death-now-streaming-on-netflix/</x:v>
      </x:c>
      <x:c r="I37" s="21" t="str">
        <x:v>CONTEXT</x:v>
      </x:c>
      <x:c r="J37" s="21" t="str">
        <x:v>Participation statement is not institutional validation of every claim</x:v>
      </x:c>
      <x:c r="K37" s="21" t="str">
        <x:v>Issue #343 / PR #352</x:v>
      </x:c>
    </x:row>
    <x:row r="38">
      <x:c r="A38" s="31" t="str">
        <x:v>WORK-343-TUCKER-LEININGER-2016</x:v>
      </x:c>
      <x:c r="B38" s="31" t="str">
        <x:v>REI</x:v>
      </x:c>
      <x:c r="C38" s="31" t="str">
        <x:v>Jim B. Tucker</x:v>
      </x:c>
      <x:c r="D38" s="31" t="str">
        <x:v>The Case of James Leininger</x:v>
      </x:c>
      <x:c r="E38" s="31" t="str">
        <x:v>PRIMARY_CASE_REPORT</x:v>
      </x:c>
      <x:c r="F38" s="31" t="str">
        <x:v>Claimed case evidence</x:v>
      </x:c>
      <x:c r="G38" s="31" t="str">
        <x:v>10.1016/j.explore.2016.02.003 · PMID 27079216</x:v>
      </x:c>
      <x:c r="H38" s="31" t="str">
        <x:v>https://pubmed.ncbi.nlm.nih.gov/27079216/</x:v>
      </x:c>
      <x:c r="I38" s="31" t="str">
        <x:v>REVIEW_REQUIRED</x:v>
      </x:c>
      <x:c r="J38" s="31" t="str">
        <x:v>Chronology, information exposure, matches and mismatches require archival adjudication</x:v>
      </x:c>
      <x:c r="K38" s="31" t="str">
        <x:v>Issue #343 / PR #352</x:v>
      </x:c>
    </x:row>
    <x:row r="39">
      <x:c r="A39" s="21" t="str">
        <x:v>WORK-343-SUDDUTH-2022</x:v>
      </x:c>
      <x:c r="B39" s="21" t="str">
        <x:v>REI</x:v>
      </x:c>
      <x:c r="C39" s="21" t="str">
        <x:v>Michael Sudduth</x:v>
      </x:c>
      <x:c r="D39" s="21" t="str">
        <x:v>The James Leininger Case Re-Examined</x:v>
      </x:c>
      <x:c r="E39" s="21" t="str">
        <x:v>CRITICAL_ARTICLE</x:v>
      </x:c>
      <x:c r="F39" s="21" t="str">
        <x:v>Counter-source</x:v>
      </x:c>
      <x:c r="G39" s="21" t="str">
        <x:v>10.31275/20212361</x:v>
      </x:c>
      <x:c r="H39" s="21" t="str">
        <x:v>https://journalofscientificexploration.org/index.php/jse/article/view/2361</x:v>
      </x:c>
      <x:c r="I39" s="21" t="str">
        <x:v>REVIEW_REQUIRED</x:v>
      </x:c>
      <x:c r="J39" s="21" t="str">
        <x:v>Critique remains attributed pending full dispute adjudication</x:v>
      </x:c>
      <x:c r="K39" s="21" t="str">
        <x:v>Issue #343 / PR #352</x:v>
      </x:c>
    </x:row>
    <x:row r="40">
      <x:c r="A40" s="31" t="str">
        <x:v>WORK-343-TUCKER-RESPONSE-2022</x:v>
      </x:c>
      <x:c r="B40" s="31" t="str">
        <x:v>REI</x:v>
      </x:c>
      <x:c r="C40" s="31" t="str">
        <x:v>Jim Tucker</x:v>
      </x:c>
      <x:c r="D40" s="31" t="str">
        <x:v>Response to Sudduth’s James Leininger Case Re-Examined</x:v>
      </x:c>
      <x:c r="E40" s="31" t="str">
        <x:v>RESPONSE_ARTICLE</x:v>
      </x:c>
      <x:c r="F40" s="31" t="str">
        <x:v>Response</x:v>
      </x:c>
      <x:c r="G40" s="31" t="str">
        <x:v>10.31275/20222487</x:v>
      </x:c>
      <x:c r="H40" s="31" t="str">
        <x:v>https://med.virginia.edu/perceptual-studies/wp-content/uploads/sites/360/2022/05/Tucker-JSE-Response-to-JL-crit-2487-Article-Text-12829-1-10-20220522-1.pdf</x:v>
      </x:c>
      <x:c r="I40" s="31" t="str">
        <x:v>REVIEW_REQUIRED</x:v>
      </x:c>
      <x:c r="J40" s="31" t="str">
        <x:v>Same contested chain; not independent replication</x:v>
      </x:c>
      <x:c r="K40" s="31" t="str">
        <x:v>Issue #343 / PR #352</x:v>
      </x:c>
    </x:row>
    <x:row r="41">
      <x:c r="A41" s="21" t="str">
        <x:v>WORK-343-SUDDUTH-REPLY-2022</x:v>
      </x:c>
      <x:c r="B41" s="21" t="str">
        <x:v>REI</x:v>
      </x:c>
      <x:c r="C41" s="21" t="str">
        <x:v>Michael Sudduth</x:v>
      </x:c>
      <x:c r="D41" s="21" t="str">
        <x:v>Response to Jim Tucker</x:v>
      </x:c>
      <x:c r="E41" s="21" t="str">
        <x:v>REPLY_ARTICLE</x:v>
      </x:c>
      <x:c r="F41" s="21" t="str">
        <x:v>Chain-gap candidate</x:v>
      </x:c>
      <x:c r="G41" s="21" t="str">
        <x:v>10.31275/20222515</x:v>
      </x:c>
      <x:c r="H41" s="21" t="str">
        <x:v>https://doi.org/10.31275/20222515</x:v>
      </x:c>
      <x:c r="I41" s="21" t="str">
        <x:v>REVIEW_REQUIRED</x:v>
      </x:c>
      <x:c r="J41" s="21" t="str">
        <x:v>Located during verification; chain candidate only</x:v>
      </x:c>
      <x:c r="K41" s="21" t="str">
        <x:v>Issue #343 / PR #352</x:v>
      </x:c>
    </x:row>
    <x:row r="42">
      <x:c r="A42" s="31" t="str">
        <x:v>WORK-343-UVA-CHILDREN-PL</x:v>
      </x:c>
      <x:c r="B42" s="31" t="str">
        <x:v>REI</x:v>
      </x:c>
      <x:c r="C42" s="31" t="str">
        <x:v>UVA DOPS</x:v>
      </x:c>
      <x:c r="D42" s="31" t="str">
        <x:v>Children Who Report Memories of Past Lives</x:v>
      </x:c>
      <x:c r="E42" s="31" t="str">
        <x:v>INSTITUTIONAL_OVERVIEW</x:v>
      </x:c>
      <x:c r="F42" s="31" t="str">
        <x:v>Research lead</x:v>
      </x:c>
      <x:c r="G42" s="31" t="str"/>
      <x:c r="H42" s="31" t="str">
        <x:v>https://med.virginia.edu/perceptual-studies/our-research/children-who-report-memories-of-previous-lives/</x:v>
      </x:c>
      <x:c r="I42" s="31" t="str">
        <x:v>REVIEW_REQUIRED</x:v>
      </x:c>
      <x:c r="J42" s="31" t="str">
        <x:v>Child privacy; no score without complete chronology and mismatch accounting</x:v>
      </x:c>
      <x:c r="K42" s="31" t="str">
        <x:v>Issue #343 / PR #352</x:v>
      </x:c>
    </x:row>
    <x:row r="43">
      <x:c r="A43" s="21" t="str">
        <x:v>SRC-BQ001-AWARE2-2023</x:v>
      </x:c>
      <x:c r="B43" s="21" t="str">
        <x:v>NDE</x:v>
      </x:c>
      <x:c r="C43" s="21" t="str">
        <x:v>Parnia et al.</x:v>
      </x:c>
      <x:c r="D43" s="21" t="str">
        <x:v>AWARE II</x:v>
      </x:c>
      <x:c r="E43" s="21" t="str">
        <x:v>PRIMARY_RESEARCH</x:v>
      </x:c>
      <x:c r="F43" s="21" t="str">
        <x:v>Existing governed source</x:v>
      </x:c>
      <x:c r="G43" s="21" t="str">
        <x:v>10.1016/j.resuscitation.2023.109903 · PMID 37423492</x:v>
      </x:c>
      <x:c r="H43" s="21" t="str">
        <x:v>https://pubmed.ncbi.nlm.nih.gov/37423492/</x:v>
      </x:c>
      <x:c r="I43" s="21" t="str">
        <x:v>EXISTING_GOVERNED</x:v>
      </x:c>
      <x:c r="J43" s="21" t="str">
        <x:v>Cardiac arrest under CPR is not irreversible brain death; denominators/timing need review</x:v>
      </x:c>
      <x:c r="K43" s="21" t="str">
        <x:v>Issue #343 / PR #352</x:v>
      </x:c>
    </x:row>
    <x:row r="44">
      <x:c r="A44" s="31" t="str">
        <x:v>WORK-343-KAMP-2020</x:v>
      </x:c>
      <x:c r="B44" s="31" t="str">
        <x:v>ADC / BEREAVEMENT</x:v>
      </x:c>
      <x:c r="C44" s="31" t="str">
        <x:v>Kamp et al.</x:v>
      </x:c>
      <x:c r="D44" s="31" t="str">
        <x:v>Sensory and Quasi-Sensory Experiences of the Deceased in Bereavement</x:v>
      </x:c>
      <x:c r="E44" s="31" t="str">
        <x:v>INTEGRATIVE_REVIEW</x:v>
      </x:c>
      <x:c r="F44" s="31" t="str">
        <x:v>Context</x:v>
      </x:c>
      <x:c r="G44" s="31" t="str">
        <x:v>10.1093/schbul/sbaa113 · PMC7707065</x:v>
      </x:c>
      <x:c r="H44" s="31" t="str">
        <x:v>https://pmc.ncbi.nlm.nih.gov/articles/PMC7707065/</x:v>
      </x:c>
      <x:c r="I44" s="31" t="str">
        <x:v>CONTEXT</x:v>
      </x:c>
      <x:c r="J44" s="31" t="str">
        <x:v>Contextual review neither verifies nor falsifies communication</x:v>
      </x:c>
      <x:c r="K44" s="31" t="str">
        <x:v>Issue #343 / PR #352</x:v>
      </x:c>
    </x:row>
    <x:row r="45">
      <x:c r="A45" s="21" t="str">
        <x:v>WORK-343-SABUCEDO-2020</x:v>
      </x:c>
      <x:c r="B45" s="21" t="str">
        <x:v>ADC / BEREAVEMENT</x:v>
      </x:c>
      <x:c r="C45" s="21" t="str">
        <x:v>Sabucedo et al.</x:v>
      </x:c>
      <x:c r="D45" s="21" t="str">
        <x:v>Perceiving those who are gone</x:v>
      </x:c>
      <x:c r="E45" s="21" t="str">
        <x:v>CULTURAL_REVIEW</x:v>
      </x:c>
      <x:c r="F45" s="21" t="str">
        <x:v>Context</x:v>
      </x:c>
      <x:c r="G45" s="21" t="str">
        <x:v>10.1177/1363461520962887 · PMC10725084</x:v>
      </x:c>
      <x:c r="H45" s="21" t="str">
        <x:v>https://pmc.ncbi.nlm.nih.gov/articles/PMC10725084/</x:v>
      </x:c>
      <x:c r="I45" s="21" t="str">
        <x:v>CONTEXT</x:v>
      </x:c>
      <x:c r="J45" s="21" t="str">
        <x:v>Cultural review; does not settle ontology</x:v>
      </x:c>
      <x:c r="K45" s="21" t="str">
        <x:v>Issue #343 / PR #352</x:v>
      </x:c>
    </x:row>
    <x:row r="46">
      <x:c r="A46" s="31" t="str">
        <x:v>ATW-SAMADHI-1</x:v>
      </x:c>
      <x:c r="B46" s="31" t="str">
        <x:v>PHILOSOPHY_CONTEXT</x:v>
      </x:c>
      <x:c r="C46" s="31" t="str">
        <x:v>Awaken the World</x:v>
      </x:c>
      <x:c r="D46" s="31" t="str">
        <x:v>Samadhi Part 1: Maya, the Illusion of the Self</x:v>
      </x:c>
      <x:c r="E46" s="31" t="str">
        <x:v>CONTEMPLATIVE_FILM</x:v>
      </x:c>
      <x:c r="F46" s="31" t="str">
        <x:v>Interpretation</x:v>
      </x:c>
      <x:c r="G46" s="31" t="str"/>
      <x:c r="H46" s="31" t="str">
        <x:v>https://awakentheworld.com/</x:v>
      </x:c>
      <x:c r="I46" s="31" t="str">
        <x:v>CONTEXT</x:v>
      </x:c>
      <x:c r="J46" s="31" t="str">
        <x:v>Contemplative interpretation is not continuity evidence</x:v>
      </x:c>
      <x:c r="K46" s="31" t="str">
        <x:v>Repository manifest</x:v>
      </x:c>
    </x:row>
    <x:row r="47">
      <x:c r="A47" s="21" t="str">
        <x:v>ATW-SAMADHI-2</x:v>
      </x:c>
      <x:c r="B47" s="21" t="str">
        <x:v>PHILOSOPHY_CONTEXT</x:v>
      </x:c>
      <x:c r="C47" s="21" t="str">
        <x:v>Awaken the World</x:v>
      </x:c>
      <x:c r="D47" s="21" t="str">
        <x:v>Samadhi Part 2: It’s Not What You Think</x:v>
      </x:c>
      <x:c r="E47" s="21" t="str">
        <x:v>CONTEMPLATIVE_FILM</x:v>
      </x:c>
      <x:c r="F47" s="21" t="str">
        <x:v>Interpretation</x:v>
      </x:c>
      <x:c r="G47" s="21" t="str"/>
      <x:c r="H47" s="21" t="str">
        <x:v>https://awakentheworld.com/samadhi-part-2-its-not-what-you-think/</x:v>
      </x:c>
      <x:c r="I47" s="21" t="str">
        <x:v>CONTEXT</x:v>
      </x:c>
      <x:c r="J47" s="21" t="str">
        <x:v>Practice-oriented interpretation; no empirical continuity claim</x:v>
      </x:c>
      <x:c r="K47" s="21" t="str">
        <x:v>Repository manifest</x:v>
      </x:c>
    </x:row>
    <x:row r="48">
      <x:c r="A48" s="31" t="str">
        <x:v>ATW-SAMADHI-3</x:v>
      </x:c>
      <x:c r="B48" s="31" t="str">
        <x:v>PHILOSOPHY_CONTEXT</x:v>
      </x:c>
      <x:c r="C48" s="31" t="str">
        <x:v>Awaken the World</x:v>
      </x:c>
      <x:c r="D48" s="31" t="str">
        <x:v>Samadhi Part 3: The Pathless Path</x:v>
      </x:c>
      <x:c r="E48" s="31" t="str">
        <x:v>CONTEMPLATIVE_FILM</x:v>
      </x:c>
      <x:c r="F48" s="31" t="str">
        <x:v>Interpretation</x:v>
      </x:c>
      <x:c r="G48" s="31" t="str"/>
      <x:c r="H48" s="31" t="str">
        <x:v>https://awakentheworld.com/</x:v>
      </x:c>
      <x:c r="I48" s="31" t="str">
        <x:v>CONTEXT</x:v>
      </x:c>
      <x:c r="J48" s="31" t="str">
        <x:v>Spiritual authority does not promote evidence</x:v>
      </x:c>
      <x:c r="K48" s="31" t="str">
        <x:v>Repository manifest</x:v>
      </x:c>
    </x:row>
    <x:row r="49">
      <x:c r="A49" s="21" t="str">
        <x:v>ATW-SAMADHI-4</x:v>
      </x:c>
      <x:c r="B49" s="21" t="str">
        <x:v>PHILOSOPHY_CONTEXT</x:v>
      </x:c>
      <x:c r="C49" s="21" t="str">
        <x:v>Awaken the World</x:v>
      </x:c>
      <x:c r="D49" s="21" t="str">
        <x:v>Samadhi Part 4: Sadhana</x:v>
      </x:c>
      <x:c r="E49" s="21" t="str">
        <x:v>CONTEMPLATIVE_FILM</x:v>
      </x:c>
      <x:c r="F49" s="21" t="str">
        <x:v>Interpretation</x:v>
      </x:c>
      <x:c r="G49" s="21" t="str"/>
      <x:c r="H49" s="21" t="str">
        <x:v>https://awakentheworld.com/</x:v>
      </x:c>
      <x:c r="I49" s="21" t="str">
        <x:v>CONTEXT</x:v>
      </x:c>
      <x:c r="J49" s="21" t="str">
        <x:v>Practice guidance informs questions, not metaphysical verification</x:v>
      </x:c>
      <x:c r="K49" s="21" t="str">
        <x:v>Repository manifest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6" hidden="0" customWidth="1"/>
    <x:col min="6" max="6" width="60" hidden="0" customWidth="1"/>
    <x:col min="7" max="7" width="45" hidden="0" customWidth="1"/>
  </x:cols>
  <x:sheetData>
    <x:row r="1">
      <x:c r="A1" s="18" t="str">
        <x:v>Manifestation ID</x:v>
      </x:c>
      <x:c r="B1" s="18" t="str">
        <x:v>Parent record</x:v>
      </x:c>
      <x:c r="C1" s="18" t="str">
        <x:v>Role</x:v>
      </x:c>
      <x:c r="D1" s="18" t="str">
        <x:v>Identity classification</x:v>
      </x:c>
      <x:c r="E1" s="18" t="str">
        <x:v>Reddit post ID</x:v>
      </x:c>
      <x:c r="F1" s="18" t="str">
        <x:v>URL</x:v>
      </x:c>
      <x:c r="G1" s="18" t="str">
        <x:v>Note</x:v>
      </x:c>
    </x:row>
    <x:row r="2">
      <x:c r="A2" s="31" t="str">
        <x:v>M350-008-REDDIT</x:v>
      </x:c>
      <x:c r="B2" s="31" t="str">
        <x:v>BIO-PK-001</x:v>
      </x:c>
      <x:c r="C2" s="31" t="str">
        <x:v>COMMUNITY_DISCOVERY</x:v>
      </x:c>
      <x:c r="D2" s="31" t="str">
        <x:v>EXISTING_ISSUE_RECORD</x:v>
      </x:c>
      <x:c r="E2" s="31" t="str">
        <x:v>15rxs24</x:v>
      </x:c>
      <x:c r="F2" s="31" t="str">
        <x:v>https://www.reddit.com/r/NeuronsToNirvana/comments/15rxs24/abstract_evidence_for_correlations_between/</x:v>
      </x:c>
      <x:c r="G2" s="31" t="str">
        <x:v>Reddit wrapper for first case</x:v>
      </x:c>
    </x:row>
    <x:row r="3">
      <x:c r="A3" s="21" t="str">
        <x:v>M350-008-PUBMED</x:v>
      </x:c>
      <x:c r="B3" s="21" t="str">
        <x:v>BIO-PK-001</x:v>
      </x:c>
      <x:c r="C3" s="21" t="str">
        <x:v>BIBLIOGRAPHIC_RECORD</x:v>
      </x:c>
      <x:c r="D3" s="21" t="str">
        <x:v>PRIMARY_WORK</x:v>
      </x:c>
      <x:c r="E3" s="21" t="str"/>
      <x:c r="F3" s="21" t="str">
        <x:v>https://pubmed.ncbi.nlm.nih.gov/16398587/</x:v>
      </x:c>
      <x:c r="G3" s="21" t="str">
        <x:v>PMID 16398587</x:v>
      </x:c>
    </x:row>
    <x:row r="4">
      <x:c r="A4" s="31" t="str">
        <x:v>M350-008-DOI</x:v>
      </x:c>
      <x:c r="B4" s="31" t="str">
        <x:v>BIO-PK-001</x:v>
      </x:c>
      <x:c r="C4" s="31" t="str">
        <x:v>VERSION_OF_RECORD</x:v>
      </x:c>
      <x:c r="D4" s="31" t="str">
        <x:v>ALTERNATE_MANIFESTATION</x:v>
      </x:c>
      <x:c r="E4" s="31" t="str"/>
      <x:c r="F4" s="31" t="str">
        <x:v>https://doi.org/10.1089/acm.2005.11.965</x:v>
      </x:c>
      <x:c r="G4" s="31" t="str">
        <x:v>Same primary paper</x:v>
      </x:c>
    </x:row>
    <x:row r="5">
      <x:c r="A5" s="21" t="str">
        <x:v>M350-001</x:v>
      </x:c>
      <x:c r="B5" s="21" t="str">
        <x:v>TEL-001</x:v>
      </x:c>
      <x:c r="C5" s="21" t="str">
        <x:v>COMMUNITY_DISCOVERY</x:v>
      </x:c>
      <x:c r="D5" s="21" t="str">
        <x:v>ISSUE_INTAKE</x:v>
      </x:c>
      <x:c r="E5" s="21" t="str">
        <x:v>1kqolp4</x:v>
      </x:c>
      <x:c r="F5" s="21" t="str">
        <x:v>https://www.reddit.com/r/NeuronsToNirvana/comments/1kqolp4/telepathy_in_lucid_dreams_stories_of_incredible/</x:v>
      </x:c>
      <x:c r="G5" s="21" t="str">
        <x:v>Canonical Reddit manifestation</x:v>
      </x:c>
    </x:row>
    <x:row r="6">
      <x:c r="A6" s="31" t="str">
        <x:v>M350-002</x:v>
      </x:c>
      <x:c r="B6" s="31" t="str">
        <x:v>PSI-META-001</x:v>
      </x:c>
      <x:c r="C6" s="31" t="str">
        <x:v>COMMUNITY_DISCOVERY</x:v>
      </x:c>
      <x:c r="D6" s="31" t="str">
        <x:v>ISSUE_INTAKE</x:v>
      </x:c>
      <x:c r="E6" s="31" t="str">
        <x:v>1j9e0e7</x:v>
      </x:c>
      <x:c r="F6" s="31" t="str">
        <x:v>https://www.reddit.com/r/NeuronsToNirvana/comments/1j9e0e7/scalar_waves_the_overlooked_key_to_consciousness/</x:v>
      </x:c>
      <x:c r="G6" s="31" t="str">
        <x:v>Legacy alias TEL-002</x:v>
      </x:c>
    </x:row>
    <x:row r="7">
      <x:c r="A7" s="21" t="str">
        <x:v>M350-003</x:v>
      </x:c>
      <x:c r="B7" s="21" t="str">
        <x:v>TEL-003</x:v>
      </x:c>
      <x:c r="C7" s="21" t="str">
        <x:v>COMMUNITY_DISCOVERY</x:v>
      </x:c>
      <x:c r="D7" s="21" t="str">
        <x:v>ISSUE_INTAKE</x:v>
      </x:c>
      <x:c r="E7" s="21" t="str">
        <x:v>1oehuw4</x:v>
      </x:c>
      <x:c r="F7" s="21" t="str">
        <x:v>https://www.reddit.com/r/NeuronsToNirvana/comments/1oehuw4/lsd_caudate_nucleus_microdosing_telepathy_icpr/</x:v>
      </x:c>
      <x:c r="G7" s="21" t="str">
        <x:v>Canonical Reddit manifestation</x:v>
      </x:c>
    </x:row>
    <x:row r="8">
      <x:c r="A8" s="31" t="str">
        <x:v>M350-004</x:v>
      </x:c>
      <x:c r="B8" s="31" t="str">
        <x:v>TEL-004</x:v>
      </x:c>
      <x:c r="C8" s="31" t="str">
        <x:v>COMMUNITY_DISCOVERY</x:v>
      </x:c>
      <x:c r="D8" s="31" t="str">
        <x:v>ISSUE_INTAKE</x:v>
      </x:c>
      <x:c r="E8" s="31" t="str">
        <x:v>1ocoiw3</x:v>
      </x:c>
      <x:c r="F8" s="31" t="str">
        <x:v>https://www.reddit.com/r/NeuronsToNirvana/comments/1ocoiw3/telepathyis_real_explore_the_science_4_min_read/</x:v>
      </x:c>
      <x:c r="G8" s="31" t="str">
        <x:v>Canonical Reddit manifestation</x:v>
      </x:c>
    </x:row>
    <x:row r="9">
      <x:c r="A9" s="21" t="str">
        <x:v>M350-005</x:v>
      </x:c>
      <x:c r="B9" s="21" t="str">
        <x:v>TEL-005</x:v>
      </x:c>
      <x:c r="C9" s="21" t="str">
        <x:v>COMMUNITY_DISCOVERY</x:v>
      </x:c>
      <x:c r="D9" s="21" t="str">
        <x:v>ISSUE_INTAKE</x:v>
      </x:c>
      <x:c r="E9" s="21" t="str">
        <x:v>1kahr4m</x:v>
      </x:c>
      <x:c r="F9" s="21" t="str">
        <x:v>https://www.reddit.com/r/NeuronsToNirvana/comments/1kahr4m/why_does_dmt_seem_to_unlock_telepathic_abilities/</x:v>
      </x:c>
      <x:c r="G9" s="21" t="str">
        <x:v>Canonical Reddit manifestation</x:v>
      </x:c>
    </x:row>
    <x:row r="10">
      <x:c r="A10" s="31" t="str">
        <x:v>M350-006</x:v>
      </x:c>
      <x:c r="B10" s="31" t="str">
        <x:v>CHN-001</x:v>
      </x:c>
      <x:c r="C10" s="31" t="str">
        <x:v>COMMUNITY_DISCOVERY</x:v>
      </x:c>
      <x:c r="D10" s="31" t="str">
        <x:v>ISSUE_INTAKE</x:v>
      </x:c>
      <x:c r="E10" s="31" t="str">
        <x:v>1vyr82r</x:v>
      </x:c>
      <x:c r="F10" s="31" t="str">
        <x:v>https://www.reddit.com/r/NeuronsToNirvana/comments/1vyr82r/what_happens_when_three_channelers_describe_the/</x:v>
      </x:c>
      <x:c r="G10" s="31" t="str">
        <x:v>Legacy alias TEL-006</x:v>
      </x:c>
    </x:row>
    <x:row r="11">
      <x:c r="A11" s="21" t="str">
        <x:v>M350-007</x:v>
      </x:c>
      <x:c r="B11" s="21" t="str">
        <x:v>TEL-007</x:v>
      </x:c>
      <x:c r="C11" s="21" t="str">
        <x:v>COMMUNITY_DISCOVERY</x:v>
      </x:c>
      <x:c r="D11" s="21" t="str">
        <x:v>ISSUE_INTAKE</x:v>
      </x:c>
      <x:c r="E11" s="21" t="str">
        <x:v>1oyi2qp</x:v>
      </x:c>
      <x:c r="F11" s="21" t="str">
        <x:v>https://www.reddit.com/r/NeuronsToNirvana/comments/1oyi2qp/better_than_cia_mind_readers_ky_dickens_has_proof/</x:v>
      </x:c>
      <x:c r="G11" s="21" t="str">
        <x:v>Canonical Reddit manifestation</x:v>
      </x:c>
    </x:row>
    <x:row r="12">
      <x:c r="A12" s="31" t="str">
        <x:v>M343-001</x:v>
      </x:c>
      <x:c r="B12" s="31" t="str">
        <x:v>WORK-343-SURVIVING-DEATH-2021</x:v>
      </x:c>
      <x:c r="C12" s="31" t="str">
        <x:v>OFFICIAL_CATALOGUE</x:v>
      </x:c>
      <x:c r="D12" s="31" t="str">
        <x:v>NEW_SOURCE_CANDIDATE</x:v>
      </x:c>
      <x:c r="E12" s="31" t="str"/>
      <x:c r="F12" s="31" t="str">
        <x:v>https://www.netflix.com/title/80998853</x:v>
      </x:c>
      <x:c r="G12" s="31" t="str">
        <x:v>Official catalogue</x:v>
      </x:c>
    </x:row>
    <x:row r="13">
      <x:c r="A13" s="21" t="str">
        <x:v>M343-002</x:v>
      </x:c>
      <x:c r="B13" s="21" t="str">
        <x:v>WORK-343-UVA-COMPANION</x:v>
      </x:c>
      <x:c r="C13" s="21" t="str">
        <x:v>INSTITUTIONAL_COMPANION</x:v>
      </x:c>
      <x:c r="D13" s="21" t="str">
        <x:v>DERIVATIVE_COMPANION</x:v>
      </x:c>
      <x:c r="E13" s="21" t="str"/>
      <x:c r="F13" s="21" t="str">
        <x:v>https://med.virginia.edu/perceptual-studies/dops-media/surviving-death-now-streaming-on-netflix/</x:v>
      </x:c>
      <x:c r="G13" s="21" t="str">
        <x:v>Not independent validation</x:v>
      </x:c>
    </x:row>
    <x:row r="14">
      <x:c r="A14" s="31" t="str">
        <x:v>M343-003</x:v>
      </x:c>
      <x:c r="B14" s="31" t="str">
        <x:v>WORK-343-TUCKER-LEININGER-2016</x:v>
      </x:c>
      <x:c r="C14" s="31" t="str">
        <x:v>AUTHOR_INSTITUTION_PDF</x:v>
      </x:c>
      <x:c r="D14" s="31" t="str">
        <x:v>NEW_SOURCE_CANDIDATE</x:v>
      </x:c>
      <x:c r="E14" s="31" t="str"/>
      <x:c r="F14" s="31" t="str">
        <x:v>https://med.virginia.edu/perceptual-studies/wp-content/uploads/sites/360/2017/04/REI42-Tucker-James-LeiningerPIIS1550830716000331.pdf</x:v>
      </x:c>
      <x:c r="G14" s="31" t="str">
        <x:v>Same work as M343-004</x:v>
      </x:c>
    </x:row>
    <x:row r="15">
      <x:c r="A15" s="21" t="str">
        <x:v>M343-004</x:v>
      </x:c>
      <x:c r="B15" s="21" t="str">
        <x:v>WORK-343-TUCKER-LEININGER-2016</x:v>
      </x:c>
      <x:c r="C15" s="21" t="str">
        <x:v>BIBLIOGRAPHIC_RECORD</x:v>
      </x:c>
      <x:c r="D15" s="21" t="str">
        <x:v>ALTERNATE_MANIFESTATION</x:v>
      </x:c>
      <x:c r="E15" s="21" t="str"/>
      <x:c r="F15" s="21" t="str">
        <x:v>https://pubmed.ncbi.nlm.nih.gov/27079216/</x:v>
      </x:c>
      <x:c r="G15" s="21" t="str">
        <x:v>Same work as M343-003</x:v>
      </x:c>
    </x:row>
    <x:row r="16">
      <x:c r="A16" s="31" t="str">
        <x:v>M343-005</x:v>
      </x:c>
      <x:c r="B16" s="31" t="str">
        <x:v>WORK-343-SUDDUTH-2022</x:v>
      </x:c>
      <x:c r="C16" s="31" t="str">
        <x:v>JOURNAL_RECORD</x:v>
      </x:c>
      <x:c r="D16" s="31" t="str">
        <x:v>NEW_SOURCE_CANDIDATE</x:v>
      </x:c>
      <x:c r="E16" s="31" t="str"/>
      <x:c r="F16" s="31" t="str">
        <x:v>https://journalofscientificexploration.org/index.php/jse/article/view/2361</x:v>
      </x:c>
      <x:c r="G16" s="31" t="str">
        <x:v>Critical article</x:v>
      </x:c>
    </x:row>
    <x:row r="17">
      <x:c r="A17" s="21" t="str">
        <x:v>M343-006</x:v>
      </x:c>
      <x:c r="B17" s="21" t="str">
        <x:v>WORK-343-SUDDUTH-2022</x:v>
      </x:c>
      <x:c r="C17" s="21" t="str">
        <x:v>AUTHOR_COMMENTARY</x:v>
      </x:c>
      <x:c r="D17" s="21" t="str">
        <x:v>DERIVATIVE_COMPANION</x:v>
      </x:c>
      <x:c r="E17" s="21" t="str"/>
      <x:c r="F17" s="21" t="str">
        <x:v>https://michaelsudduth.com/crash-and-burn-james-leininger-story-debunked/</x:v>
      </x:c>
      <x:c r="G17" s="21" t="str">
        <x:v>Not independent of critique lineage</x:v>
      </x:c>
    </x:row>
    <x:row r="18">
      <x:c r="A18" s="31" t="str">
        <x:v>M343-007</x:v>
      </x:c>
      <x:c r="B18" s="31" t="str">
        <x:v>WORK-343-TUCKER-RESPONSE-2022</x:v>
      </x:c>
      <x:c r="C18" s="31" t="str">
        <x:v>AUTHOR_INSTITUTION_PDF</x:v>
      </x:c>
      <x:c r="D18" s="31" t="str">
        <x:v>NEW_SOURCE_CANDIDATE</x:v>
      </x:c>
      <x:c r="E18" s="31" t="str"/>
      <x:c r="F18" s="31" t="str">
        <x:v>https://med.virginia.edu/perceptual-studies/wp-content/uploads/sites/360/2022/05/Tucker-JSE-Response-to-JL-crit-2487-Article-Text-12829-1-10-20220522-1.pdf</x:v>
      </x:c>
      <x:c r="G18" s="31" t="str">
        <x:v>Response in contested chain</x:v>
      </x:c>
    </x:row>
    <x:row r="19">
      <x:c r="A19" s="21" t="str">
        <x:v>M343-008</x:v>
      </x:c>
      <x:c r="B19" s="21" t="str">
        <x:v>WORK-343-UVA-CHILDREN-PL</x:v>
      </x:c>
      <x:c r="C19" s="21" t="str">
        <x:v>INSTITUTIONAL_OVERVIEW</x:v>
      </x:c>
      <x:c r="D19" s="21" t="str">
        <x:v>NEW_SOURCE_CANDIDATE</x:v>
      </x:c>
      <x:c r="E19" s="21" t="str"/>
      <x:c r="F19" s="21" t="str">
        <x:v>https://med.virginia.edu/perceptual-studies/our-research/children-who-report-memories-of-previous-lives/</x:v>
      </x:c>
      <x:c r="G19" s="21" t="str">
        <x:v>Ryan Hammons claim set unresolved</x:v>
      </x:c>
    </x:row>
    <x:row r="20">
      <x:c r="A20" s="31" t="str">
        <x:v>M343-009</x:v>
      </x:c>
      <x:c r="B20" s="31" t="str">
        <x:v>SRC-BQ001-AWARE2-2023</x:v>
      </x:c>
      <x:c r="C20" s="31" t="str">
        <x:v>BIBLIOGRAPHIC_RECORD</x:v>
      </x:c>
      <x:c r="D20" s="31" t="str">
        <x:v>EXISTING_GOVERNED_RECORD</x:v>
      </x:c>
      <x:c r="E20" s="31" t="str"/>
      <x:c r="F20" s="31" t="str">
        <x:v>https://pubmed.ncbi.nlm.nih.gov/37423492/</x:v>
      </x:c>
      <x:c r="G20" s="31" t="str">
        <x:v>Reuse existing governed source</x:v>
      </x:c>
    </x:row>
    <x:row r="21">
      <x:c r="A21" s="21" t="str">
        <x:v>M343-010</x:v>
      </x:c>
      <x:c r="B21" s="21" t="str">
        <x:v>SRC-BQ001-AWARE2-2023</x:v>
      </x:c>
      <x:c r="C21" s="21" t="str">
        <x:v>PUBLISHER_PRESS_RELEASE</x:v>
      </x:c>
      <x:c r="D21" s="21" t="str">
        <x:v>DERIVATIVE_COMPANION</x:v>
      </x:c>
      <x:c r="E21" s="21" t="str"/>
      <x:c r="F21" s="21" t="str">
        <x:v>https://www.elsevier.com/about/press-releases/new-evidence-indicates-patients-recall-death-experiences-after-cardiac</x:v>
      </x:c>
      <x:c r="G21" s="21" t="str">
        <x:v>Not independent confirmation</x:v>
      </x:c>
    </x:row>
    <x:row r="22">
      <x:c r="A22" s="31" t="str">
        <x:v>M343-011</x:v>
      </x:c>
      <x:c r="B22" s="31" t="str">
        <x:v>WORK-343-KAMP-2020</x:v>
      </x:c>
      <x:c r="C22" s="31" t="str">
        <x:v>INSTITUTIONAL_REPOSITORY</x:v>
      </x:c>
      <x:c r="D22" s="31" t="str">
        <x:v>NEW_SOURCE_CANDIDATE</x:v>
      </x:c>
      <x:c r="E22" s="31" t="str"/>
      <x:c r="F22" s="31" t="str">
        <x:v>https://orbi.uliege.be/handle/2268/291512</x:v>
      </x:c>
      <x:c r="G22" s="31" t="str">
        <x:v>Same work as M343-012</x:v>
      </x:c>
    </x:row>
    <x:row r="23">
      <x:c r="A23" s="21" t="str">
        <x:v>M343-012</x:v>
      </x:c>
      <x:c r="B23" s="21" t="str">
        <x:v>WORK-343-KAMP-2020</x:v>
      </x:c>
      <x:c r="C23" s="21" t="str">
        <x:v>FULL_TEXT_REPOSITORY</x:v>
      </x:c>
      <x:c r="D23" s="21" t="str">
        <x:v>ALTERNATE_MANIFESTATION</x:v>
      </x:c>
      <x:c r="E23" s="21" t="str"/>
      <x:c r="F23" s="21" t="str">
        <x:v>https://pmc.ncbi.nlm.nih.gov/articles/PMC7707065/</x:v>
      </x:c>
      <x:c r="G23" s="21" t="str">
        <x:v>Same work as M343-011</x:v>
      </x:c>
    </x:row>
    <x:row r="24">
      <x:c r="A24" s="31" t="str">
        <x:v>M343-013</x:v>
      </x:c>
      <x:c r="B24" s="31" t="str">
        <x:v>WORK-343-SABUCEDO-2020</x:v>
      </x:c>
      <x:c r="C24" s="31" t="str">
        <x:v>FULL_TEXT_REPOSITORY</x:v>
      </x:c>
      <x:c r="D24" s="31" t="str">
        <x:v>NEW_SOURCE_CANDIDATE</x:v>
      </x:c>
      <x:c r="E24" s="31" t="str"/>
      <x:c r="F24" s="31" t="str">
        <x:v>https://pmc.ncbi.nlm.nih.gov/articles/PMC10725084/</x:v>
      </x:c>
      <x:c r="G24" s="31" t="str">
        <x:v>Cultural-context review</x:v>
      </x:c>
    </x:row>
    <x:row r="25">
      <x:c r="A25" s="21" t="str">
        <x:v>M343-014</x:v>
      </x:c>
      <x:c r="B25" s="21" t="str">
        <x:v>REDDIT-19ec1o5</x:v>
      </x:c>
      <x:c r="C25" s="21" t="str">
        <x:v>COMMUNITY_DISCOVERY</x:v>
      </x:c>
      <x:c r="D25" s="21" t="str">
        <x:v>EXISTING_COMMUNITY_RECORD</x:v>
      </x:c>
      <x:c r="E25" s="21" t="str">
        <x:v>19ec1o5</x:v>
      </x:c>
      <x:c r="F25" s="21" t="str">
        <x:v>https://www.reddit.com/r/NeuronsToNirvana/comments/19ec1o5/</x:v>
      </x:c>
      <x:c r="G25" s="21" t="str">
        <x:v>Surviving Death S1:E1</x:v>
      </x:c>
    </x:row>
    <x:row r="26">
      <x:c r="A26" s="31" t="str">
        <x:v>M343-015</x:v>
      </x:c>
      <x:c r="B26" s="31" t="str">
        <x:v>REDDIT-1gwoghi</x:v>
      </x:c>
      <x:c r="C26" s="31" t="str">
        <x:v>COMMUNITY_DISCOVERY</x:v>
      </x:c>
      <x:c r="D26" s="31" t="str">
        <x:v>EXISTING_COMMUNITY_RECORD</x:v>
      </x:c>
      <x:c r="E26" s="31" t="str">
        <x:v>1gwoghi</x:v>
      </x:c>
      <x:c r="F26" s="31" t="str">
        <x:v>https://www.reddit.com/r/NeuronsToNirvana/comments/1gwoghi/</x:v>
      </x:c>
      <x:c r="G26" s="31" t="str">
        <x:v>Bruce Greyson / Tim Ferriss</x:v>
      </x:c>
    </x:row>
    <x:row r="27">
      <x:c r="A27" s="21" t="str">
        <x:v>M343-016</x:v>
      </x:c>
      <x:c r="B27" s="21" t="str">
        <x:v>REDDIT-1tlcanb</x:v>
      </x:c>
      <x:c r="C27" s="21" t="str">
        <x:v>COMMUNITY_DISCOVERY</x:v>
      </x:c>
      <x:c r="D27" s="21" t="str">
        <x:v>EXISTING_COMMUNITY_RECORD</x:v>
      </x:c>
      <x:c r="E27" s="21" t="str">
        <x:v>1tlcanb</x:v>
      </x:c>
      <x:c r="F27" s="21" t="str">
        <x:v>https://www.reddit.com/r/NeuronsToNirvana/comments/1tlcanb/</x:v>
      </x:c>
      <x:c r="G27" s="21" t="str">
        <x:v>Biological Evidence for Reincarnation</x:v>
      </x:c>
    </x:row>
    <x:row r="28">
      <x:c r="A28" s="31" t="str">
        <x:v>M343-017</x:v>
      </x:c>
      <x:c r="B28" s="31" t="str">
        <x:v>REDDIT-1w4plts</x:v>
      </x:c>
      <x:c r="C28" s="31" t="str">
        <x:v>COMMUNITY_DISCOVERY</x:v>
      </x:c>
      <x:c r="D28" s="31" t="str">
        <x:v>NEW_SOURCE_CANDIDATE</x:v>
      </x:c>
      <x:c r="E28" s="31" t="str">
        <x:v>1w4plts</x:v>
      </x:c>
      <x:c r="F28" s="31" t="str">
        <x:v>https://www.reddit.com/r/NeuronsToNirvana/comments/1w4plts/</x:v>
      </x:c>
      <x:c r="G28" s="31" t="str">
        <x:v>Beyond the Brain?</x:v>
      </x:c>
    </x:row>
    <x:row r="29">
      <x:c r="A29" s="21" t="str">
        <x:v>M343-018</x:v>
      </x:c>
      <x:c r="B29" s="21" t="str">
        <x:v>REDDIT-18fximw</x:v>
      </x:c>
      <x:c r="C29" s="21" t="str">
        <x:v>COMMUNITY_DISCOVERY</x:v>
      </x:c>
      <x:c r="D29" s="21" t="str">
        <x:v>EXISTING_COMMUNITY_RECORD</x:v>
      </x:c>
      <x:c r="E29" s="21" t="str">
        <x:v>18fximw</x:v>
      </x:c>
      <x:c r="F29" s="21" t="str">
        <x:v>https://www.reddit.com/r/NeuronsToNirvana/comments/18fximw/</x:v>
      </x:c>
      <x:c r="G29" s="21" t="str">
        <x:v>Disconnected consciousness</x:v>
      </x:c>
    </x:row>
    <x:row r="30">
      <x:c r="A30" s="31" t="str">
        <x:v>M343-019</x:v>
      </x:c>
      <x:c r="B30" s="31" t="str">
        <x:v>REDDIT-1whdhm3</x:v>
      </x:c>
      <x:c r="C30" s="31" t="str">
        <x:v>COMMUNITY_DISCOVERY</x:v>
      </x:c>
      <x:c r="D30" s="31" t="str">
        <x:v>NEW_SOURCE_CANDIDATE</x:v>
      </x:c>
      <x:c r="E30" s="31" t="str">
        <x:v>1whdhm3</x:v>
      </x:c>
      <x:c r="F30" s="31" t="str">
        <x:v>https://www.reddit.com/r/NeuronsToNirvana/comments/1whdhm3/</x:v>
      </x:c>
      <x:c r="G30" s="31" t="str">
        <x:v>AKN Pilot 001</x:v>
      </x:c>
    </x:row>
    <x:row r="31">
      <x:c r="A31" s="21" t="str">
        <x:v>M343-020</x:v>
      </x:c>
      <x:c r="B31" s="21" t="str">
        <x:v>REDDIT-1w73h3c</x:v>
      </x:c>
      <x:c r="C31" s="21" t="str">
        <x:v>COMMUNITY_DISCOVERY</x:v>
      </x:c>
      <x:c r="D31" s="21" t="str">
        <x:v>NEW_SOURCE_CANDIDATE</x:v>
      </x:c>
      <x:c r="E31" s="21" t="str">
        <x:v>1w73h3c</x:v>
      </x:c>
      <x:c r="F31" s="21" t="str">
        <x:v>https://www.reddit.com/r/NeuronsToNirvana/comments/1w73h3c/</x:v>
      </x:c>
      <x:c r="G31" s="21" t="str">
        <x:v>Reincarnation Across Cultures</x:v>
      </x:c>
    </x:row>
    <x:row r="32">
      <x:c r="A32" s="31" t="str">
        <x:v>M343-021</x:v>
      </x:c>
      <x:c r="B32" s="31" t="str">
        <x:v>REDDIT-1fusen1</x:v>
      </x:c>
      <x:c r="C32" s="31" t="str">
        <x:v>COMMUNITY_DISCOVERY</x:v>
      </x:c>
      <x:c r="D32" s="31" t="str">
        <x:v>EXISTING_COMMUNITY_RECORD</x:v>
      </x:c>
      <x:c r="E32" s="31" t="str">
        <x:v>1fusen1</x:v>
      </x:c>
      <x:c r="F32" s="31" t="str">
        <x:v>https://www.reddit.com/r/NeuronsToNirvana/comments/1fusen1/</x:v>
      </x:c>
      <x:c r="G32" s="31" t="str">
        <x:v>Jeffrey Long / 5000 NDEs</x:v>
      </x:c>
    </x:row>
    <x:row r="33">
      <x:c r="A33" s="21" t="str">
        <x:v>M343-022</x:v>
      </x:c>
      <x:c r="B33" s="21" t="str">
        <x:v>REDDIT-18fnopa</x:v>
      </x:c>
      <x:c r="C33" s="21" t="str">
        <x:v>COMMUNITY_DISCOVERY</x:v>
      </x:c>
      <x:c r="D33" s="21" t="str">
        <x:v>EXISTING_COMMUNITY_RECORD</x:v>
      </x:c>
      <x:c r="E33" s="21" t="str">
        <x:v>18fnopa</x:v>
      </x:c>
      <x:c r="F33" s="21" t="str">
        <x:v>https://www.reddit.com/r/NeuronsToNirvana/comments/18fnopa/</x:v>
      </x:c>
      <x:c r="G33" s="21" t="str">
        <x:v>Pim van Lommel</x:v>
      </x:c>
    </x:row>
    <x:row r="34">
      <x:c r="A34" s="31" t="str">
        <x:v>M343-023</x:v>
      </x:c>
      <x:c r="B34" s="31" t="str">
        <x:v>REDDIT-1ep26fq</x:v>
      </x:c>
      <x:c r="C34" s="31" t="str">
        <x:v>COMMUNITY_DISCOVERY</x:v>
      </x:c>
      <x:c r="D34" s="31" t="str">
        <x:v>EXISTING_COMMUNITY_RECORD</x:v>
      </x:c>
      <x:c r="E34" s="31" t="str">
        <x:v>1ep26fq</x:v>
      </x:c>
      <x:c r="F34" s="31" t="str">
        <x:v>https://www.reddit.com/r/NeuronsToNirvana/comments/1ep26fq/</x:v>
      </x:c>
      <x:c r="G34" s="31" t="str">
        <x:v>Changa and NDE experiencers</x:v>
      </x:c>
    </x:row>
    <x:row r="35">
      <x:c r="A35" s="21" t="str">
        <x:v>M343-024</x:v>
      </x:c>
      <x:c r="B35" s="21" t="str">
        <x:v>REDDIT-1vssvtl</x:v>
      </x:c>
      <x:c r="C35" s="21" t="str">
        <x:v>COMMUNITY_DISCOVERY</x:v>
      </x:c>
      <x:c r="D35" s="21" t="str">
        <x:v>EXISTING_COMMUNITY_RECORD</x:v>
      </x:c>
      <x:c r="E35" s="21" t="str">
        <x:v>1vssvtl</x:v>
      </x:c>
      <x:c r="F35" s="21" t="str">
        <x:v>https://www.reddit.com/r/NeuronsToNirvana/comments/1vssvtl/</x:v>
      </x:c>
      <x:c r="G35" s="21" t="str">
        <x:v>Communicate across incarnations?</x:v>
      </x:c>
    </x:row>
    <x:row r="36">
      <x:c r="A36" s="31" t="str">
        <x:v>M343-025</x:v>
      </x:c>
      <x:c r="B36" s="31" t="str">
        <x:v>DISCOVERY-QUERY</x:v>
      </x:c>
      <x:c r="C36" s="31" t="str">
        <x:v>DYNAMIC_DISCOVERY_ROUTE</x:v>
      </x:c>
      <x:c r="D36" s="31" t="str">
        <x:v>DISCOVERY_QUERY_NOT_SOURCE</x:v>
      </x:c>
      <x:c r="E36" s="31" t="str"/>
      <x:c r="F36" s="31" t="str">
        <x:v>https://www.reddit.com/r/NeuronsToNirvana/search/?q=NDE+OR+Death&amp;restrict_sr=1</x:v>
      </x:c>
      <x:c r="G36" s="31" t="str">
        <x:v>Unstable result set</x:v>
      </x:c>
    </x:row>
    <x:row r="37">
      <x:c r="A37" s="21" t="str">
        <x:v>M343-026</x:v>
      </x:c>
      <x:c r="B37" s="21" t="str">
        <x:v>WORK-343-SUDDUTH-REPLY-2022</x:v>
      </x:c>
      <x:c r="C37" s="21" t="str">
        <x:v>JOURNAL_RECORD</x:v>
      </x:c>
      <x:c r="D37" s="21" t="str">
        <x:v>NEW_SOURCE_CANDIDATE</x:v>
      </x:c>
      <x:c r="E37" s="21" t="str"/>
      <x:c r="F37" s="21" t="str">
        <x:v>https://doi.org/10.31275/20222515</x:v>
      </x:c>
      <x:c r="G37" s="21" t="str">
        <x:v>Discovered chain-gap reply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72" hidden="0" customWidth="1"/>
    <x:col min="5" max="5" width="28" hidden="0" customWidth="1"/>
    <x:col min="6" max="6" width="16" hidden="0" customWidth="1"/>
  </x:cols>
  <x:sheetData>
    <x:row r="1">
      <x:c r="A1" s="6" t="str">
        <x:v>Series prefix</x:v>
      </x:c>
      <x:c r="B1" s="6" t="str">
        <x:v>Claim family</x:v>
      </x:c>
      <x:c r="C1" s="6" t="str">
        <x:v>Operational boundary</x:v>
      </x:c>
      <x:c r="E1" s="25" t="str">
        <x:v>Tag</x:v>
      </x:c>
      <x:c r="F1" s="25" t="str">
        <x:v>Layer</x:v>
      </x:c>
    </x:row>
    <x:row r="2">
      <x:c r="A2" s="11" t="str">
        <x:v>PSI-META</x:v>
      </x:c>
      <x:c r="B2" s="11" t="str">
        <x:v>Umbrella/index</x:v>
      </x:c>
      <x:c r="C2" s="11" t="str">
        <x:v>Navigation, mechanisms and cross-series research leads; not a positive evidence class</x:v>
      </x:c>
      <x:c r="E2" s="10" t="str">
        <x:v>GANZFELD</x:v>
      </x:c>
      <x:c r="F2" s="10" t="str">
        <x:v>Protocol</x:v>
      </x:c>
    </x:row>
    <x:row r="3">
      <x:c r="A3" s="11" t="str">
        <x:v>TEL</x:v>
      </x:c>
      <x:c r="B3" s="11" t="str">
        <x:v>Telepathy</x:v>
      </x:c>
      <x:c r="C3" s="11" t="str">
        <x:v>Identified living sender to receiver without ordinary sensory access</x:v>
      </x:c>
      <x:c r="E3" s="10" t="str">
        <x:v>AUTOGANZFELD</x:v>
      </x:c>
      <x:c r="F3" s="10" t="str">
        <x:v>Protocol</x:v>
      </x:c>
    </x:row>
    <x:row r="4">
      <x:c r="A4" s="11" t="str">
        <x:v>CHN</x:v>
      </x:c>
      <x:c r="B4" s="11" t="str">
        <x:v>Channeling</x:v>
      </x:c>
      <x:c r="C4" s="11" t="str">
        <x:v>Information attributed to nonordinary source, entity, collective or higher self</x:v>
      </x:c>
      <x:c r="E4" s="10" t="str">
        <x:v>DREAM-LAB</x:v>
      </x:c>
      <x:c r="F4" s="10" t="str">
        <x:v>Protocol</x:v>
      </x:c>
    </x:row>
    <x:row r="5">
      <x:c r="A5" s="11" t="str">
        <x:v>MED</x:v>
      </x:c>
      <x:c r="B5" s="11" t="str">
        <x:v>Mediumship</x:v>
      </x:c>
      <x:c r="C5" s="11" t="str">
        <x:v>Information attributed specifically to a deceased communicator</x:v>
      </x:c>
      <x:c r="E5" s="10" t="str">
        <x:v>FORCED-CHOICE</x:v>
      </x:c>
      <x:c r="F5" s="10" t="str">
        <x:v>Protocol</x:v>
      </x:c>
    </x:row>
    <x:row r="6">
      <x:c r="A6" s="11" t="str">
        <x:v>PRE</x:v>
      </x:c>
      <x:c r="B6" s="11" t="str">
        <x:v>Precognition</x:v>
      </x:c>
      <x:c r="C6" s="11" t="str">
        <x:v>Consciously reportable information about a future target/event</x:v>
      </x:c>
      <x:c r="E6" s="10" t="str">
        <x:v>FREE-RESPONSE</x:v>
      </x:c>
      <x:c r="F6" s="10" t="str">
        <x:v>Protocol</x:v>
      </x:c>
    </x:row>
    <x:row r="7">
      <x:c r="A7" s="11" t="str">
        <x:v>PRE-PHY</x:v>
      </x:c>
      <x:c r="B7" s="11" t="str">
        <x:v>Presentiment</x:v>
      </x:c>
      <x:c r="C7" s="11" t="str">
        <x:v>Pre-stimulus physiology before an intended unpredictable future stimulus</x:v>
      </x:c>
      <x:c r="E7" s="10" t="str">
        <x:v>DMILS</x:v>
      </x:c>
      <x:c r="F7" s="10" t="str">
        <x:v>Protocol</x:v>
      </x:c>
    </x:row>
    <x:row r="8">
      <x:c r="A8" s="11" t="str">
        <x:v>RV</x:v>
      </x:c>
      <x:c r="B8" s="11" t="str">
        <x:v>Remote viewing / clairvoyance</x:v>
      </x:c>
      <x:c r="C8" s="11" t="str">
        <x:v>Inaccessible target information without an identified sender</x:v>
      </x:c>
      <x:c r="E8" s="10" t="str">
        <x:v>RNG / MICRO-PK</x:v>
      </x:c>
      <x:c r="F8" s="10" t="str">
        <x:v>Protocol</x:v>
      </x:c>
    </x:row>
    <x:row r="9">
      <x:c r="A9" s="11" t="str">
        <x:v>PK</x:v>
      </x:c>
      <x:c r="B9" s="11" t="str">
        <x:v>Psychokinesis</x:v>
      </x:c>
      <x:c r="C9" s="11" t="str">
        <x:v>Intention claimed to influence a physical or random system</x:v>
      </x:c>
      <x:c r="E9" s="10" t="str">
        <x:v>MACRO-PK</x:v>
      </x:c>
      <x:c r="F9" s="10" t="str">
        <x:v>Protocol</x:v>
      </x:c>
    </x:row>
    <x:row r="10">
      <x:c r="A10" s="11" t="str">
        <x:v>BIO-PK</x:v>
      </x:c>
      <x:c r="B10" s="11" t="str">
        <x:v>Distant intention / anomalous healing</x:v>
      </x:c>
      <x:c r="C10" s="11" t="str">
        <x:v>Intention claimed to influence a biological system or health outcome at a distance</x:v>
      </x:c>
      <x:c r="E10" s="10" t="str">
        <x:v>REMOTE-TARGET</x:v>
      </x:c>
      <x:c r="F10" s="10" t="str">
        <x:v>Protocol</x:v>
      </x:c>
    </x:row>
    <x:row r="11">
      <x:c r="A11" s="11" t="str">
        <x:v>APP</x:v>
      </x:c>
      <x:c r="B11" s="11" t="str">
        <x:v>Apparitions / crisis experiences</x:v>
      </x:c>
      <x:c r="C11" s="11" t="str">
        <x:v>Perceived figure or presence linked to distant crisis, death or external event</x:v>
      </x:c>
      <x:c r="E11" s="10" t="str">
        <x:v>FIELD-RNG</x:v>
      </x:c>
      <x:c r="F11" s="10" t="str">
        <x:v>Protocol</x:v>
      </x:c>
    </x:row>
    <x:row r="12">
      <x:c r="A12" s="11" t="str">
        <x:v>PSM</x:v>
      </x:c>
      <x:c r="B12" s="11" t="str">
        <x:v>Psychometry</x:v>
      </x:c>
      <x:c r="C12" s="11" t="str">
        <x:v>Object- or place-associated inaccessible information</x:v>
      </x:c>
      <x:c r="E12" s="10" t="str">
        <x:v>HYPERSCANNING</x:v>
      </x:c>
      <x:c r="F12" s="10" t="str">
        <x:v>Protocol</x:v>
      </x:c>
    </x:row>
    <x:row r="13">
      <x:c r="A13" s="11" t="str">
        <x:v>RET</x:v>
      </x:c>
      <x:c r="B13" s="11" t="str">
        <x:v>Retrocausal claims</x:v>
      </x:c>
      <x:c r="C13" s="11" t="str">
        <x:v>Later choice/event claimed to affect or correlate with earlier outcome</x:v>
      </x:c>
      <x:c r="E13" s="10" t="str">
        <x:v>PSYCHEDELIC</x:v>
      </x:c>
      <x:c r="F13" s="10" t="str">
        <x:v>Context</x:v>
      </x:c>
    </x:row>
    <x:row r="14">
      <x:c r="A14" s="11" t="str">
        <x:v>SYN</x:v>
      </x:c>
      <x:c r="B14" s="11" t="str">
        <x:v>Synchronicity</x:v>
      </x:c>
      <x:c r="C14" s="11" t="str">
        <x:v>Meaningful coincidence; interpretation lane unless prospectively testable</x:v>
      </x:c>
      <x:c r="E14" s="10" t="str">
        <x:v>DREAM / LUCID-DREAM</x:v>
      </x:c>
      <x:c r="F14" s="10" t="str">
        <x:v>Context</x:v>
      </x:c>
    </x:row>
    <x:row r="15">
      <x:c r="A15" s="11" t="str">
        <x:v>NDE</x:v>
      </x:c>
      <x:c r="B15" s="11" t="str">
        <x:v>Near-death experience</x:v>
      </x:c>
      <x:c r="C15" s="11" t="str">
        <x:v>Phenomenology/medical context; only specific veridical claims cross-link</x:v>
      </x:c>
      <x:c r="E15" s="10" t="str">
        <x:v>MEDITATION / SIDDHI</x:v>
      </x:c>
      <x:c r="F15" s="10" t="str">
        <x:v>Context</x:v>
      </x:c>
    </x:row>
    <x:row r="16">
      <x:c r="A16" s="11" t="str">
        <x:v>OBE</x:v>
      </x:c>
      <x:c r="B16" s="11" t="str">
        <x:v>Out-of-body experience</x:v>
      </x:c>
      <x:c r="C16" s="11" t="str">
        <x:v>Experience record; cross-link to RV only with blinded external target</x:v>
      </x:c>
      <x:c r="E16" s="10" t="str">
        <x:v>SHAMANIC / INDIGENOUS</x:v>
      </x:c>
      <x:c r="F16" s="10" t="str">
        <x:v>Context</x:v>
      </x:c>
    </x:row>
    <x:row r="17">
      <x:c r="A17" s="11" t="str">
        <x:v>SDE</x:v>
      </x:c>
      <x:c r="B17" s="11" t="str">
        <x:v>Shared-death experience</x:v>
      </x:c>
      <x:c r="C17" s="11" t="str">
        <x:v>Testimony unless independently timed and corroborated</x:v>
      </x:c>
      <x:c r="E17" s="10" t="str">
        <x:v>BEREAVEMENT</x:v>
      </x:c>
      <x:c r="F17" s="10" t="str">
        <x:v>Context</x:v>
      </x:c>
    </x:row>
    <x:row r="18">
      <x:c r="A18" s="11" t="str">
        <x:v>ADC</x:v>
      </x:c>
      <x:c r="B18" s="11" t="str">
        <x:v>After-death communication</x:v>
      </x:c>
      <x:c r="C18" s="11" t="str">
        <x:v>Bereavement-context testimony; cross-link to MED for specific communicator/information claims</x:v>
      </x:c>
      <x:c r="E18" s="10" t="str">
        <x:v>AUTISM-NONSPEAKING</x:v>
      </x:c>
      <x:c r="F18" s="10" t="str">
        <x:v>Context</x:v>
      </x:c>
    </x:row>
    <x:row r="19">
      <x:c r="A19" s="11" t="str">
        <x:v>REI</x:v>
      </x:c>
      <x:c r="B19" s="11" t="str">
        <x:v>Reincarnation / past-life memory</x:v>
      </x:c>
      <x:c r="C19" s="11" t="str">
        <x:v>Continuity series with identity, normal-information and cultural-transmission controls</x:v>
      </x:c>
      <x:c r="E19" s="10" t="str">
        <x:v>UAP-NHI</x:v>
      </x:c>
      <x:c r="F19" s="10" t="str">
        <x:v>Context</x:v>
      </x:c>
    </x:row>
    <x:row r="20">
      <x:c r="A20" s="11" t="str">
        <x:v>XENO</x:v>
      </x:c>
      <x:c r="B20" s="11" t="str">
        <x:v>Xenoglossy</x:v>
      </x:c>
      <x:c r="C20" s="11" t="str">
        <x:v>Language-performance claim requiring blinded linguistic assessment</x:v>
      </x:c>
      <x:c r="E20" s="10" t="str">
        <x:v>ANIMAL</x:v>
      </x:c>
      <x:c r="F20" s="10" t="str">
        <x:v>Context</x:v>
      </x:c>
    </x:row>
    <x:row r="21">
      <x:c r="A21" s="11" t="str">
        <x:v>ITC</x:v>
      </x:c>
      <x:c r="B21" s="11" t="str">
        <x:v>Instrumental transcommunication / EVP</x:v>
      </x:c>
      <x:c r="C21" s="11" t="str">
        <x:v>Device-mediated communication claim; signal processing and pareidolia controls required</x:v>
      </x:c>
      <x:c r="E21" s="10" t="str">
        <x:v>RELIGIOUS-MYSTICAL</x:v>
      </x:c>
      <x:c r="F21" s="10" t="str">
        <x:v>Context</x:v>
      </x:c>
    </x:row>
    <x:row r="22">
      <x:c r="A22" s="11"/>
      <x:c r="B22" s="11"/>
      <x:c r="C22" s="11"/>
      <x:c r="E22" s="10" t="str">
        <x:v>GROUP-CEREMONY</x:v>
      </x:c>
      <x:c r="F22" s="10" t="str">
        <x:v>Context</x:v>
      </x:c>
    </x:row>
    <x:row r="23">
      <x:c r="A23" s="11"/>
      <x:c r="B23" s="11"/>
      <x:c r="C23" s="11"/>
      <x:c r="E23" s="10"/>
      <x:c r="F23" s="10"/>
    </x:row>
    <x:row r="24">
      <x:c r="A24" s="11"/>
      <x:c r="B24" s="11"/>
      <x:c r="C24" s="11"/>
      <x:c r="E24" s="10"/>
      <x:c r="F24" s="10"/>
    </x:row>
    <x:row r="25">
      <x:c r="A25" s="11"/>
      <x:c r="B25" s="11"/>
      <x:c r="C25" s="11"/>
      <x:c r="E25" s="10"/>
      <x:c r="F25" s="10"/>
    </x:row>
    <x:row r="26">
      <x:c r="A26" s="11"/>
      <x:c r="B26" s="11"/>
      <x:c r="C26" s="11"/>
      <x:c r="E26" s="10"/>
      <x:c r="F26" s="10"/>
    </x:row>
    <x:row r="27">
      <x:c r="A27" s="11"/>
      <x:c r="B27" s="11"/>
      <x:c r="C27" s="11"/>
      <x:c r="E27" s="10"/>
      <x:c r="F27" s="10"/>
    </x:row>
    <x:row r="28">
      <x:c r="A28" s="11"/>
      <x:c r="B28" s="11"/>
      <x:c r="C28" s="11"/>
      <x:c r="E28" s="10"/>
      <x:c r="F28" s="10"/>
    </x:row>
    <x:row r="29">
      <x:c r="A29" s="11"/>
      <x:c r="B29" s="11"/>
      <x:c r="C29" s="11"/>
      <x:c r="E29" s="10"/>
      <x:c r="F29" s="10"/>
    </x:row>
    <x:row r="30">
      <x:c r="A30" s="11"/>
      <x:c r="B30" s="11"/>
      <x:c r="C30" s="11"/>
      <x:c r="E30" s="10"/>
      <x:c r="F30" s="10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0" hidden="0" customWidth="1"/>
    <x:col min="3" max="3" width="4" hidden="0" customWidth="1"/>
    <x:col min="4" max="4" width="30" hidden="0" customWidth="1"/>
    <x:col min="5" max="5" width="42" hidden="0" customWidth="1"/>
    <x:col min="6" max="6" width="45" hidden="0" customWidth="1"/>
  </x:cols>
  <x:sheetData>
    <x:row r="1" ht="30" customHeight="1">
      <x:c r="A1" s="26" t="str">
        <x:v>BIO-PK-001 · Distant intentionality and recipient fMRI</x:v>
      </x:c>
      <x:c r="B1" s="26"/>
      <x:c r="C1" s="26"/>
      <x:c r="D1" s="26"/>
      <x:c r="E1" s="26"/>
      <x:c r="F1" s="26"/>
    </x:row>
    <x:row r="3">
      <x:c r="A3" s="17" t="str">
        <x:v>Field</x:v>
      </x:c>
      <x:c r="B3" s="17" t="str">
        <x:v>Record</x:v>
      </x:c>
      <x:c r="D3" s="6" t="str">
        <x:v>Finding</x:v>
      </x:c>
      <x:c r="E3" s="6" t="str">
        <x:v>Why it matters</x:v>
      </x:c>
      <x:c r="F3" s="6" t="str">
        <x:v>Reconsideration requirement</x:v>
      </x:c>
    </x:row>
    <x:row r="4">
      <x:c r="A4" s="27" t="str">
        <x:v>Legacy alias</x:v>
      </x:c>
      <x:c r="B4" s="10" t="str">
        <x:v>TEL-008</x:v>
      </x:c>
      <x:c r="D4" s="11" t="str">
        <x:v>Fixed shared schedule</x:v>
      </x:c>
      <x:c r="E4" s="11" t="str">
        <x:v>Condition is confounded with scan time at group level</x:v>
      </x:c>
      <x:c r="F4" s="11" t="str">
        <x:v>Independent randomization/counterbalancing per dyad</x:v>
      </x:c>
    </x:row>
    <x:row r="5">
      <x:c r="A5" s="27" t="str">
        <x:v>Reddit post</x:v>
      </x:c>
      <x:c r="B5" s="10" t="str">
        <x:v>https://www.reddit.com/r/NeuronsToNirvana/comments/15rxs24/abstract_evidence_for_correlations_between/</x:v>
      </x:c>
      <x:c r="D5" s="11" t="str">
        <x:v>Incomplete blinding</x:v>
      </x:c>
      <x:c r="E5" s="11" t="str">
        <x:v>Control-room personnel knew On/Off timing</x:v>
      </x:c>
      <x:c r="F5" s="11" t="str">
        <x:v>Full staff and recipient blinding to timing</x:v>
      </x:c>
    </x:row>
    <x:row r="6">
      <x:c r="A6" s="27" t="str">
        <x:v>Primary paper</x:v>
      </x:c>
      <x:c r="B6" s="10" t="str">
        <x:v>Achterberg et al., J Altern Complement Med 11(6), 965–971 (2005)</x:v>
      </x:c>
      <x:c r="D6" s="11" t="str">
        <x:v>Small enriched sample</x:v>
      </x:c>
      <x:c r="E6" s="11" t="str">
        <x:v>Ten analysed recipients; healer-selected close pairs</x:v>
      </x:c>
      <x:c r="F6" s="11" t="str">
        <x:v>Adequately powered independent multisite sample</x:v>
      </x:c>
    </x:row>
    <x:row r="7">
      <x:c r="A7" s="27" t="str">
        <x:v>DOI</x:v>
      </x:c>
      <x:c r="B7" s="10" t="str">
        <x:v>10.1089/acm.2005.11.965</x:v>
      </x:c>
      <x:c r="D7" s="11" t="str">
        <x:v>Exclusion transparency</x:v>
      </x:c>
      <x:c r="E7" s="11" t="str">
        <x:v>One scan excluded; no prospective rule/sensitivity analysis located</x:v>
      </x:c>
      <x:c r="F7" s="11" t="str">
        <x:v>Preregistered exclusion rules and complete participant-level reporting</x:v>
      </x:c>
    </x:row>
    <x:row r="8">
      <x:c r="A8" s="27" t="str">
        <x:v>PMID</x:v>
      </x:c>
      <x:c r="B8" s="10" t="str">
        <x:v>16398587</x:v>
      </x:c>
      <x:c r="D8" s="11" t="str">
        <x:v>Cluster inference</x:v>
      </x:c>
      <x:c r="E8" s="11" t="str">
        <x:v>Liberal cluster-forming threshold needs modern validation</x:v>
      </x:c>
      <x:c r="F8" s="11" t="str">
        <x:v>Permutation-based whole-brain reanalysis from raw data</x:v>
      </x:c>
    </x:row>
    <x:row r="9">
      <x:c r="A9" s="27" t="str">
        <x:v>Participants</x:v>
      </x:c>
      <x:c r="B9" s="10" t="str">
        <x:v>22 participants / 11 healer–recipient pairs; group analysis n=10</x:v>
      </x:c>
      <x:c r="D9" s="11" t="str">
        <x:v>No preregistration or code</x:v>
      </x:c>
      <x:c r="E9" s="11" t="str">
        <x:v>Analytical flexibility cannot be bounded retrospectively</x:v>
      </x:c>
      <x:c r="F9" s="11" t="str">
        <x:v>Preregistered primary endpoint, code and analysis specification</x:v>
      </x:c>
    </x:row>
    <x:row r="10">
      <x:c r="A10" s="27" t="str">
        <x:v>Schedule</x:v>
      </x:c>
      <x:c r="B10" s="10" t="str">
        <x:v>Six 2-minute On and six 2-minute Off periods; one coin-toss sequence reused for all sessions</x:v>
      </x:c>
      <x:c r="D10" s="11" t="str">
        <x:v>No qualifying independent replication</x:v>
      </x:c>
      <x:c r="E10" s="11" t="str">
        <x:v>P-value is not a replication or effect-size measure</x:v>
      </x:c>
      <x:c r="F10" s="11" t="str">
        <x:v>Independent replication with full positive/null/negative reporting</x:v>
      </x:c>
    </x:row>
    <x:row r="11">
      <x:c r="A11" s="27" t="str">
        <x:v>Blinding</x:v>
      </x:c>
      <x:c r="B11" s="10" t="str">
        <x:v>Recipients unaware of timing; healer cued; technician, nurse and PI knew timing</x:v>
      </x:c>
    </x:row>
    <x:row r="12">
      <x:c r="A12" s="27" t="str">
        <x:v>Analysis</x:v>
      </x:c>
      <x:c r="B12" s="10" t="str">
        <x:v>FSL/FEAT; motion and autocorrelation correction; cluster-forming Z&gt;2.3; corrected cluster p&lt;0.01</x:v>
      </x:c>
      <x:c r="D12" s="6" t="str">
        <x:v>Counter-source</x:v>
      </x:c>
      <x:c r="E12" s="6" t="str">
        <x:v>Role</x:v>
      </x:c>
      <x:c r="F12" s="6" t="str">
        <x:v>Boundary</x:v>
      </x:c>
    </x:row>
    <x:row r="13">
      <x:c r="A13" s="27" t="str">
        <x:v>Review maturity</x:v>
      </x:c>
      <x:c r="B13" s="10" t="str">
        <x:v>FULL-TEXT METHODS REVIEWED</x:v>
      </x:c>
      <x:c r="D13" s="11" t="str">
        <x:v>Acunzo et al. 2026</x:v>
      </x:c>
      <x:c r="E13" s="11" t="str">
        <x:v>Systematic critical review</x:v>
      </x:c>
      <x:c r="F13" s="11" t="str">
        <x:v>Psi neuroimaging remains heterogeneous and seldom replicated</x:v>
      </x:c>
    </x:row>
    <x:row r="14">
      <x:c r="A14" s="27" t="str">
        <x:v>Disposition</x:v>
      </x:c>
      <x:c r="B14" s="10" t="str">
        <x:v>HOLD / REVIEW_CANDIDATE</x:v>
      </x:c>
      <x:c r="D14" s="11" t="str">
        <x:v>Eklund et al. 2016</x:v>
      </x:c>
      <x:c r="E14" s="11" t="str">
        <x:v>fMRI methods</x:v>
      </x:c>
      <x:c r="F14" s="11" t="str">
        <x:v>Motivates reanalysis; does not itself disprove this study</x:v>
      </x:c>
    </x:row>
    <x:row r="15">
      <x:c r="A15" s="27" t="str">
        <x:v>Governance</x:v>
      </x:c>
      <x:c r="B15" s="10" t="str">
        <x:v>BQ002 UNRESOLVED · accepted edges 0 · supports_models empty · all promotion gates OFF</x:v>
      </x:c>
      <x:c r="D15" s="11" t="str">
        <x:v>Moulton &amp; Kosslyn 2008</x:v>
      </x:c>
      <x:c r="E15" s="11" t="str">
        <x:v>Independent null result</x:v>
      </x:c>
      <x:c r="F15" s="11" t="str">
        <x:v>Different paradigm; not a direct replication</x:v>
      </x:c>
    </x:row>
    <x:row r="16">
      <x:c r="D16" s="11" t="str">
        <x:v>Richards et al. 2005</x:v>
      </x:c>
      <x:c r="E16" s="11" t="str">
        <x:v>Related positive context</x:v>
      </x:c>
      <x:c r="F16" s="11" t="str">
        <x:v>Overlapping team; one-subject replication claim; different paradigm</x:v>
      </x:c>
    </x:row>
    <x:row r="17">
      <x:c r="D17" s="11" t="str">
        <x:v>Schmidt 2012</x:v>
      </x:c>
      <x:c r="E17" s="11" t="str">
        <x:v>Distant-intention meta-analysis</x:v>
      </x:c>
      <x:c r="F17" s="11" t="str">
        <x:v>Different endpoint; cannot validate this fMRI claim directly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28" t="str">
        <x:v>Scope, method and refresh boundary</x:v>
      </x:c>
      <x:c r="B1" s="28"/>
      <x:c r="C1" s="28"/>
      <x:c r="D1" s="28"/>
    </x:row>
    <x:row r="3">
      <x:c r="A3" s="29" t="str">
        <x:v>Item</x:v>
      </x:c>
      <x:c r="B3" s="29" t="str">
        <x:v>Description</x:v>
      </x:c>
    </x:row>
    <x:row r="4">
      <x:c r="A4" s="12" t="str">
        <x:v>Purpose</x:v>
      </x:c>
      <x:c r="B4" s="11" t="str">
        <x:v>Collate current governed PSI and continuity records into source, manifestation and claim layers.</x:v>
      </x:c>
    </x:row>
    <x:row r="5">
      <x:c r="A5" s="12" t="str">
        <x:v>Current source set</x:v>
      </x:c>
      <x:c r="B5" s="11" t="str">
        <x:v>GitHub issues #343, #350 and #354; PR #352 corrected head a15878a; repository file interbrain-telepathy-mayim-bialik-source-crawl-v0.1.json; live verification of BIO-PK-001 bibliographic record.</x:v>
      </x:c>
    </x:row>
    <x:row r="6">
      <x:c r="A6" s="12" t="str">
        <x:v>Not a complete census</x:v>
      </x:c>
      <x:c r="B6" s="11" t="str">
        <x:v>Reddit search indexing and repository indexes are incomplete. The workbook records all items found in these governed packets, not every historical post or private record.</x:v>
      </x:c>
    </x:row>
    <x:row r="7">
      <x:c r="A7" s="12" t="str">
        <x:v>Identity rule</x:v>
      </x:c>
      <x:c r="B7" s="11" t="str">
        <x:v>One underlying work may have many manifestations. Alternate URLs, clips, press releases and summaries do not count as independent evidence.</x:v>
      </x:c>
    </x:row>
    <x:row r="8">
      <x:c r="A8" s="12" t="str">
        <x:v>Claim rule</x:v>
      </x:c>
      <x:c r="B8" s="11" t="str">
        <x:v>One source may yield multiple claim records in different series; claims do not inherit support from adjacent topics.</x:v>
      </x:c>
    </x:row>
    <x:row r="9">
      <x:c r="A9" s="12" t="str">
        <x:v>Numbering</x:v>
      </x:c>
      <x:c r="B9" s="11" t="str">
        <x:v>Three-digit suffixes are immutable within each series; status, date, BQ and evidence grade remain metadata.</x:v>
      </x:c>
    </x:row>
    <x:row r="10">
      <x:c r="A10" s="12" t="str">
        <x:v>Evidence rule</x:v>
      </x:c>
      <x:c r="B10" s="11" t="str">
        <x:v>A source title or author conclusion is not an AkashicNET conclusion. Disposition is review workflow, not truth status.</x:v>
      </x:c>
    </x:row>
    <x:row r="11">
      <x:c r="A11" s="12" t="str">
        <x:v>Rights rule</x:v>
      </x:c>
      <x:c r="B11" s="11" t="str">
        <x:v>Metadata, links and original summaries only; no full articles, transcripts, tables, figures or private identifiers.</x:v>
      </x:c>
    </x:row>
    <x:row r="12">
      <x:c r="A12" s="12" t="str">
        <x:v>Refresh rule</x:v>
      </x:c>
      <x:c r="B12" s="11" t="str">
        <x:v>Add new records only after source identity, manifestation deduplication, rights and claim-family routing are checked.</x:v>
      </x:c>
    </x:row>
    <x:row r="13">
      <x:c r="A13" s="12" t="str">
        <x:v>Current gates</x:v>
      </x:c>
      <x:c r="B13" s="11" t="str">
        <x:v>BQ001/BQ002/BQ003 unresolved; accepted edges 0; supports_models empty; truth/evidence/rights/public promotion OFF.</x:v>
      </x:c>
    </x:row>
  </x:sheetData>
  <x:mergeCells>
    <x:mergeCell ref="A1:D1"/>
  </x:mergeCells>
  <x:pageMargins left="0.7" right="0.7" top="0.75" bottom="0.75" header="0.3" footer="0.3"/>
</x:worksheet>
</file>